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İYAT LİSTELERİ\GÜRAL FİYAT LİSTELERİ\"/>
    </mc:Choice>
  </mc:AlternateContent>
  <xr:revisionPtr revIDLastSave="0" documentId="13_ncr:1_{B5FCBB7F-C6A7-4A69-9A53-FE406993B8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</sheets>
  <definedNames>
    <definedName name="_xlnm.Print_Area" localSheetId="0">Sayfa1!$A$1:$D$294</definedName>
  </definedNames>
  <calcPr calcId="181029"/>
</workbook>
</file>

<file path=xl/calcChain.xml><?xml version="1.0" encoding="utf-8"?>
<calcChain xmlns="http://schemas.openxmlformats.org/spreadsheetml/2006/main">
  <c r="D259" i="1" l="1"/>
  <c r="D260" i="1"/>
  <c r="D258" i="1"/>
  <c r="D202" i="1"/>
  <c r="D197" i="1"/>
  <c r="D255" i="1"/>
  <c r="D132" i="1"/>
  <c r="D77" i="1"/>
  <c r="D84" i="1"/>
  <c r="D85" i="1"/>
  <c r="D144" i="1"/>
  <c r="D143" i="1"/>
  <c r="D198" i="1"/>
  <c r="D42" i="1"/>
  <c r="D32" i="1"/>
  <c r="D36" i="1"/>
  <c r="D78" i="1"/>
  <c r="D58" i="1"/>
  <c r="D117" i="1"/>
  <c r="D80" i="1"/>
  <c r="D74" i="1"/>
  <c r="D75" i="1"/>
  <c r="D81" i="1"/>
  <c r="D43" i="1"/>
  <c r="D83" i="1"/>
  <c r="D261" i="1"/>
  <c r="D235" i="1"/>
  <c r="D152" i="1"/>
  <c r="D207" i="1"/>
  <c r="D178" i="1"/>
  <c r="D251" i="1"/>
  <c r="D174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68" i="1"/>
  <c r="D263" i="1"/>
  <c r="D264" i="1"/>
  <c r="D262" i="1"/>
  <c r="D204" i="1"/>
  <c r="D205" i="1"/>
  <c r="D206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2" i="1"/>
  <c r="D253" i="1"/>
  <c r="D254" i="1"/>
  <c r="D256" i="1"/>
  <c r="D257" i="1"/>
  <c r="D203" i="1"/>
  <c r="D149" i="1"/>
  <c r="D150" i="1"/>
  <c r="D151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5" i="1"/>
  <c r="D176" i="1"/>
  <c r="D177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48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3" i="1"/>
  <c r="D134" i="1"/>
  <c r="D135" i="1"/>
  <c r="D136" i="1"/>
  <c r="D137" i="1"/>
  <c r="D138" i="1"/>
  <c r="D139" i="1"/>
  <c r="D140" i="1"/>
  <c r="D141" i="1"/>
  <c r="D142" i="1"/>
  <c r="D89" i="1"/>
  <c r="D48" i="1"/>
  <c r="D49" i="1"/>
  <c r="D50" i="1"/>
  <c r="D51" i="1"/>
  <c r="D52" i="1"/>
  <c r="D53" i="1"/>
  <c r="D54" i="1"/>
  <c r="D55" i="1"/>
  <c r="D56" i="1"/>
  <c r="D57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6" i="1"/>
  <c r="D79" i="1"/>
  <c r="D82" i="1"/>
  <c r="D4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D35" i="1"/>
  <c r="D37" i="1"/>
  <c r="D38" i="1"/>
  <c r="D39" i="1"/>
  <c r="D40" i="1"/>
  <c r="D41" i="1"/>
  <c r="D7" i="1"/>
</calcChain>
</file>

<file path=xl/sharedStrings.xml><?xml version="1.0" encoding="utf-8"?>
<sst xmlns="http://schemas.openxmlformats.org/spreadsheetml/2006/main" count="301" uniqueCount="277">
  <si>
    <t>AIRSOFT TABANCA</t>
  </si>
  <si>
    <t>BERSA BP9CC YEDEK ŞARJÖR</t>
  </si>
  <si>
    <t>STI DUTY ONE YEDEK ŞARJÖR</t>
  </si>
  <si>
    <t>CZ 75 DÜRBÜN VE FENER KIZAĞI</t>
  </si>
  <si>
    <t>AIRSOFT TÜFEK</t>
  </si>
  <si>
    <t>EVO TRACER TAKMA APARATI</t>
  </si>
  <si>
    <t>ASG FİYAT LİSTESİ</t>
  </si>
  <si>
    <t>ADI</t>
  </si>
  <si>
    <t>KODU</t>
  </si>
  <si>
    <t>AKSESUARLAR</t>
  </si>
  <si>
    <t>CZ 75 D COMPACT SİYAH HAVALI TABANCA</t>
  </si>
  <si>
    <t>STI DUTY ONE SİYAH HAVALI TABANCA</t>
  </si>
  <si>
    <t>BERSA BP9CC SİYAH HAVALI TABANCA</t>
  </si>
  <si>
    <t>DAN WESSON 6" P. KROM TOPLU HAV. TAB. (PELLET)</t>
  </si>
  <si>
    <t>CZ75 P07 DUTY SİYAH HAVALI TABANCA</t>
  </si>
  <si>
    <t>DAN WESSON 2,5" P. KROM TOPLU HAVALI TABANCA</t>
  </si>
  <si>
    <t>DAN WESSON 4" SİYAH TOPLU HAVALI TABANCA</t>
  </si>
  <si>
    <t>DAN WESSON 6" P. KROM TOPLU HAVALI TABANCA</t>
  </si>
  <si>
    <t>DAN WESSON 8" GRİ TOPLU HAVALI TABANCA</t>
  </si>
  <si>
    <t>STEYR M9A1 SİYAH HAVALI TABANCA</t>
  </si>
  <si>
    <t>STEYR M9A1 ÇİFT RENK HAVALI TABANCA</t>
  </si>
  <si>
    <t>DAN WESSON 8" P. KROM TOPLU HAVALI TABANCA</t>
  </si>
  <si>
    <t>TAC 4,5 CO2 SİYAH HAVALI TÜFEK</t>
  </si>
  <si>
    <t>CZ SP01 SHADOW SİYAH HAVALI TABANCA</t>
  </si>
  <si>
    <t>SCHOFIELD 6" SİYAH TOPLU HAVALI TABANCA (PELLET)</t>
  </si>
  <si>
    <t>SCHOFIELD 6" FÜME TOPLU HAVALI TABANCA</t>
  </si>
  <si>
    <t>DAN WESSON 6" P. KROM TOPLU AIRSOFT TABANCA</t>
  </si>
  <si>
    <t>STEYR M9A1 SİYAH AIRSOFT TABANCA</t>
  </si>
  <si>
    <t>STEYR SNIPER YAYLI AIRSOFT TÜFEK</t>
  </si>
  <si>
    <t>CZ SCORPION EVO B.E.T. CARBINE AIRSOFT TÜFEK</t>
  </si>
  <si>
    <t>MP5 A5 SİYAH AIRSOFT TÜFEK</t>
  </si>
  <si>
    <t>CZ SCORPION EVO 3 AIRSOFT TÜFEK</t>
  </si>
  <si>
    <t>SA M7 AK47 AIRSOFT TÜFEK</t>
  </si>
  <si>
    <t>SLV 36 SİYAH AIRSOFT TÜFEK</t>
  </si>
  <si>
    <t>CZ SCORPION EVO 3 A1 CARBINE AIRSOFT TÜFEK</t>
  </si>
  <si>
    <t>CZ 75 P07 DUTY YEDEK ŞARJÖR</t>
  </si>
  <si>
    <t>METAL SUSTURUCU</t>
  </si>
  <si>
    <t>1X40 RED DOT</t>
  </si>
  <si>
    <t>SUPER XENON TAKTİK FENER</t>
  </si>
  <si>
    <t>TEKLİ METAL HEDEF KUTUSU</t>
  </si>
  <si>
    <t>100'LÜ HEDEF KAĞIDI</t>
  </si>
  <si>
    <t>DAN WESSON SPEED LOADER + 6 ADET KARTUŞ</t>
  </si>
  <si>
    <t>1X22X33 RED DOT</t>
  </si>
  <si>
    <t>5'Lİ YAĞLI CO2 TÜP</t>
  </si>
  <si>
    <t>AK47 DÜRBÜN VE FENER KIZAĞI</t>
  </si>
  <si>
    <t>CZ P09 YEDEK ŞARJÖR</t>
  </si>
  <si>
    <t>3,5-10X50E ADVANCED TÜFEK DÜRBÜNÜ</t>
  </si>
  <si>
    <t>3-9X50 TÜFEK DÜRBÜNÜ</t>
  </si>
  <si>
    <t>3-9X40 AYAKLI TÜFEK DÜRBÜNÜ</t>
  </si>
  <si>
    <t xml:space="preserve">3-9X50E TÜFEK DÜRBÜNÜ </t>
  </si>
  <si>
    <t>4X6X21 DÜRBÜN AYAĞI</t>
  </si>
  <si>
    <t>4X32 AYAKLI TÜFEK DÜRBÜNÜ</t>
  </si>
  <si>
    <t>TAC 4,5 YEDEK ŞARJÖR</t>
  </si>
  <si>
    <t>TAC 4,5 SUSTURUCU</t>
  </si>
  <si>
    <t>METAL KONİK HEDEF KUTUSU</t>
  </si>
  <si>
    <t>552 YEŞİL/KIRMIZI RED DOT</t>
  </si>
  <si>
    <t>400'LÜK BB DOLDURMA APARATI</t>
  </si>
  <si>
    <t>7,4V 1300 MAH LİPO PİL</t>
  </si>
  <si>
    <t>9,9V 1000 MAH LIFE PİL</t>
  </si>
  <si>
    <t>3X32 AYAKLI TÜFEK DÜRBÜNÜ</t>
  </si>
  <si>
    <t>3X32 AYAKLI GEZLİ TÜFEK DÜRBÜNÜ</t>
  </si>
  <si>
    <t>CZ P07 DUTY AIRSOFT YEDEK ŞARJÖR</t>
  </si>
  <si>
    <t>M15 SUSTURUCU</t>
  </si>
  <si>
    <t>SİYAH AĞIZ MASKESİ</t>
  </si>
  <si>
    <t>TAN AĞIZ MASKESİ</t>
  </si>
  <si>
    <t>11.1V 1300 MAH LİPO PİL</t>
  </si>
  <si>
    <t>YEDEK ŞARJÖRLER</t>
  </si>
  <si>
    <t>DÜRBÜN FENER RED DOT</t>
  </si>
  <si>
    <t>11.1V 900 MAH SINGLE LİPO PİL</t>
  </si>
  <si>
    <t>SCHOFIELD PELLET YEDEK KARTUŞ</t>
  </si>
  <si>
    <t>SCHOFIELD ÇELİK BİLYE YEDEK KARTUŞ</t>
  </si>
  <si>
    <t>BERSA THUNDER 9 PRO HAVALI TABANCA</t>
  </si>
  <si>
    <t>CZ 75 D COMPACT ÇİFT RENK HAVALI TABANCA</t>
  </si>
  <si>
    <t>30MM YEŞİL KIRMIZI RED DOT</t>
  </si>
  <si>
    <t>MINI RED DOT</t>
  </si>
  <si>
    <t>ARMALITE M15 AIRSOFT TÜFEK</t>
  </si>
  <si>
    <t>FRANCHI SPAS YAYLI AIRSOFT TÜFEK</t>
  </si>
  <si>
    <t>ARSEMAL M7T AIRSOFT TÜFEK</t>
  </si>
  <si>
    <t>CO2 TÜP 12GR</t>
  </si>
  <si>
    <t>9,9V 1400 MAH LIFE PİL</t>
  </si>
  <si>
    <t>BERSA THUNDER 9 PRO YEDEK ŞARJÖR</t>
  </si>
  <si>
    <t>STEYR M9A1 AIRSOFT YEDEK ŞARJÖR</t>
  </si>
  <si>
    <t>SİYAH AĞIZ MASKESİ KULAK KORUMALI</t>
  </si>
  <si>
    <t>TAN AĞIZ MASKESİ KULAK KORUMALI</t>
  </si>
  <si>
    <t>KAMUFLAJ AĞIZ MASKESİ KULAK KORUMALI</t>
  </si>
  <si>
    <r>
      <t xml:space="preserve">CZ75 P07 DUTY ÇİFT RENK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H. TABANCA </t>
    </r>
  </si>
  <si>
    <r>
      <t xml:space="preserve">CZ75 P07 DUTY SİYAH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H. TABANCA</t>
    </r>
  </si>
  <si>
    <r>
      <t xml:space="preserve">STI DUTY ONE SİYAH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HAVALI TABANCA</t>
    </r>
  </si>
  <si>
    <r>
      <t xml:space="preserve">CZ75 P09 SİYAH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HAV. TAB. (PELLET)</t>
    </r>
  </si>
  <si>
    <r>
      <t xml:space="preserve">CZ SP01 SHADOW FULL METAL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HAVALI TAB.</t>
    </r>
  </si>
  <si>
    <r>
      <t xml:space="preserve">M9 IA F92 FULL METAL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</si>
  <si>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CZ75 P07 DUTY SİYAH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</si>
  <si>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STI TAC MASTER SİYAH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</si>
  <si>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CZ P09 SİYAH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</si>
  <si>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CZ P09 ÇÖL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</si>
  <si>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CZ P09 SİYAH-ÇÖL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</si>
  <si>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CZ SHADOW 2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</si>
  <si>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CZ SHADOW 2 AIRSOFT GAS YEDEK ŞARJÖR</t>
  </si>
  <si>
    <t>MK23 AIRSOFT GAS YEDEK ŞARJÖR</t>
  </si>
  <si>
    <t>STEYR SSG 69 AIRSOFT YEDEK ŞARJÖR (2Lİ)</t>
  </si>
  <si>
    <t>AK47 600LÜ YEDEK ŞARJÖR</t>
  </si>
  <si>
    <t>STEYR AUG 330LU YEDEK ŞARJÖR</t>
  </si>
  <si>
    <t>M15 300LÜ YEDEK ŞARJÖR</t>
  </si>
  <si>
    <t>MP5 200LÜK YEDEK ŞARJÖR</t>
  </si>
  <si>
    <t>SLV 36 470Lİ YEDEK ŞARJÖR</t>
  </si>
  <si>
    <t>SLV 36 50Lİ YEDEK ŞARJÖR</t>
  </si>
  <si>
    <t>EVO SCORPION 75Lİ YEDEK ŞARJÖR</t>
  </si>
  <si>
    <t>EVO SCORPION 375Lİ YEDEK ŞARJÖR</t>
  </si>
  <si>
    <t>EVO 3-A1 SMOKY 75Lİ YEDEK ŞARJÖR</t>
  </si>
  <si>
    <t>DAN WESSON VALOR 1911 HAVALI TABANCA (PELLET)</t>
  </si>
  <si>
    <t>TOPTAN €</t>
  </si>
  <si>
    <t>PERAKENDE €</t>
  </si>
  <si>
    <t>M40 A3 YAYLI SNIPER TÜFEK</t>
  </si>
  <si>
    <t>SPORT 106 DT YAYLI AIRSOFT TABANCA</t>
  </si>
  <si>
    <t>HERA ARMS CQR AIRSOFT TÜFEK</t>
  </si>
  <si>
    <t>MK23 FUL SET AIRSOFT TABANCA</t>
  </si>
  <si>
    <t>AIRSOFT GREENGAS 570 ML.</t>
  </si>
  <si>
    <t>4X20 TÜFEK DÜRBÜNÜ</t>
  </si>
  <si>
    <t>7.4V 1300 MAH SINGLE LİPO PİL</t>
  </si>
  <si>
    <t>CZ SP01 SHADOW AIRSOFT GAS YEDEK ŞARJÖR</t>
  </si>
  <si>
    <t>M40 A3 AIRSOFT YEDEK ŞARJÖR</t>
  </si>
  <si>
    <t>CO2 TÜP (9 NORMAL + 1 YAĞLI)</t>
  </si>
  <si>
    <t>SPEEDLOADER HIZLI DOLUM APARATI</t>
  </si>
  <si>
    <t>HAKİ AĞIZ MASKESİ</t>
  </si>
  <si>
    <r>
      <t xml:space="preserve">B&amp;T USW A1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</si>
  <si>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CZ SCORPION EVO 3 A1 BET ÇÖL AIRSOFT TÜFEK</t>
  </si>
  <si>
    <t>HERA ARMS CQR ÇÖL AIRSOFT TÜFEK</t>
  </si>
  <si>
    <r>
      <t xml:space="preserve">M9 SİYAH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</si>
  <si>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ICS XFG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</si>
  <si>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ICS XAE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</si>
  <si>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ICS BLE XPD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</si>
  <si>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CZ 805 BREN A1 YEDEK ŞARJÖR</t>
  </si>
  <si>
    <t>COMBAT MXR18 AIRSOFT TÜFEK</t>
  </si>
  <si>
    <t>ARMALITE M15 ÇÖL AIRSOFT TÜFEK</t>
  </si>
  <si>
    <t>CZ SCORPION EVO 3 A1 ÇÖL AIRSOFT TÜFEK</t>
  </si>
  <si>
    <t>CZ SHADOW 2 POLİMER KILIF</t>
  </si>
  <si>
    <t>40 MM AIRSOFT BOMBA TIPASI</t>
  </si>
  <si>
    <t>ARMALITE M15 URX-SBR AIRSOFT TÜFEK</t>
  </si>
  <si>
    <t>CZ SCORPION EVO 3 A1 ATEK ÇÖL AIRSOFT TÜFEK</t>
  </si>
  <si>
    <t>CZ SCORPION EVO 3 A1 ATEK GRİ AIRSOFT TÜFEK</t>
  </si>
  <si>
    <t>ASSAULT MXR18 AIRSOFT TÜFEK</t>
  </si>
  <si>
    <t>CARBINE MX18 AIRSOFT TÜFEK</t>
  </si>
  <si>
    <t>ARMALITE M15 ASSAULT AIRSOFT TÜFEK</t>
  </si>
  <si>
    <t>ARMALITE M15 ASSAULT ÇÖL AIRSOFT TÜFEK</t>
  </si>
  <si>
    <t>DAN WESSON 4" P. KROM TOPLU AIRSOFT TABANCA</t>
  </si>
  <si>
    <r>
      <t xml:space="preserve">DAN WESSON A2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</si>
  <si>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ARMALITE TACTICAL CARBINE AIRSOFT TÜFEK</t>
  </si>
  <si>
    <t>HAKİ AĞIZ MASKESİ KULAK KORUMALI</t>
  </si>
  <si>
    <t>MK13 COMPACT YAYLI AIRSOFT TÜFEK</t>
  </si>
  <si>
    <t>GREENGAS 570 ML. SİLİKONLU 135 PSI</t>
  </si>
  <si>
    <t>GREENGAS 570 ML. ORTA GÜÇLÜ 164 PSI</t>
  </si>
  <si>
    <t>GREENGAS 570 ML. YÜKSEK GÜÇLÜ 178 PSI</t>
  </si>
  <si>
    <t>MK13 YAYLI AIRSOFT TÜFEK</t>
  </si>
  <si>
    <t>URBAN SNIPER YAYLI AIRSOFT TÜFEK</t>
  </si>
  <si>
    <t>CZ SCORPION EVO 3 A1 ATEK AIRSOFT TÜFEK</t>
  </si>
  <si>
    <t>CZ SCORPION EVO 3 A1 HPA AIRSOFT TÜFEK</t>
  </si>
  <si>
    <r>
      <t xml:space="preserve">CZ P09 URBAN GRİ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</si>
  <si>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BT5 A5 KOMPLE SET SİYAH AIRSOFT TÜFEK</t>
  </si>
  <si>
    <t>AIRSOFT FİŞEK YEDEK KARTUŞ</t>
  </si>
  <si>
    <t>REGÜLATÖR HPA STORM CAT5</t>
  </si>
  <si>
    <t>DAN WESSON 2,5" ALTIN TOPLU HAVALI TABANCA</t>
  </si>
  <si>
    <r>
      <t xml:space="preserve">U.S. COMBAT FULL METAL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HAVALI TABANCA</t>
    </r>
  </si>
  <si>
    <t>ISSC M22 HAVALI TABANCA</t>
  </si>
  <si>
    <r>
      <t xml:space="preserve">ISSC M22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HAVALI TABANCA</t>
    </r>
  </si>
  <si>
    <t>FRANCHI SAS YAYLI AIRSOFT TÜFEK</t>
  </si>
  <si>
    <t>CZ SCORPION EVO 3 A1 GRİ AIRSOFT TÜFEK</t>
  </si>
  <si>
    <t>DÜRBÜN LENS KORUYUCU</t>
  </si>
  <si>
    <t>1-4X24 YEŞİL/KIRMIZI RED DOT</t>
  </si>
  <si>
    <t xml:space="preserve">1911 MODELLERİ İÇİN PLASTİK BEL KILIFI </t>
  </si>
  <si>
    <r>
      <t xml:space="preserve">STEYR L9-A2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</si>
  <si>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HERA SİYAH EL TUTAMAĞI</t>
  </si>
  <si>
    <t>HERA TAN EL TUTAMAĞI</t>
  </si>
  <si>
    <t>SCHOFIELD 6" KROM TOPLU HAVALI TABANCA (PELLET)</t>
  </si>
  <si>
    <t>H-15 CQB SİYAH AIRSOFT TÜFEK</t>
  </si>
  <si>
    <t>ÖZEL KUVVETLER BLOWBACK AIRSOFT TÜFEK</t>
  </si>
  <si>
    <t>H-15 CARBINE SİYAH AIRSOFT TÜFEK</t>
  </si>
  <si>
    <t>H-15 BET SİYAH AIRSOFT TÜFEK</t>
  </si>
  <si>
    <t>M15 / M16 360'LIK YEDEK ŞARJÖR</t>
  </si>
  <si>
    <t>STEYR L9-A2 YEDEK ŞARJÖR</t>
  </si>
  <si>
    <t>* MAVİ İLE İŞARETLİ ALANLAR TL CİNSİNDENDİR.</t>
  </si>
  <si>
    <t>* FİYATLARIMIZA KDV DAHİLDİR.</t>
  </si>
  <si>
    <t>* YEŞİL İLE İŞARETLİ ÜRÜNLER YENİ ÜRÜNLERDİR.</t>
  </si>
  <si>
    <t>* SARI İLE İŞARETLİ ÜRÜNLER, BİR ÖNCEKİ LİSTEYE GÖRE ZAMLANAN ÜRÜNLERDİR.</t>
  </si>
  <si>
    <r>
      <t xml:space="preserve">CZ P-10 C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</si>
  <si>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CZ SHADOW 2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URBAN GRİ AIRSOFT TABANCA</t>
    </r>
  </si>
  <si>
    <r>
      <t xml:space="preserve">CZ SP01 SHADOW ACCU </t>
    </r>
    <r>
      <rPr>
        <b/>
        <sz val="22"/>
        <color rgb="FFFF0000"/>
        <rFont val="Arial"/>
        <family val="2"/>
        <charset val="162"/>
      </rPr>
      <t xml:space="preserve">BLOWBACK </t>
    </r>
    <r>
      <rPr>
        <b/>
        <sz val="22"/>
        <rFont val="Arial"/>
        <family val="2"/>
        <charset val="162"/>
      </rPr>
      <t>AIRSOFT TABANCA</t>
    </r>
  </si>
  <si>
    <t>H-15 180 Lİ SİYAH YEDEK ŞARJÖR</t>
  </si>
  <si>
    <t>STORM TURUNCU AIRSOFT EL BOMBASI</t>
  </si>
  <si>
    <t>ÇENE KORUMALI SİYAH AĞIZ MASKESİ</t>
  </si>
  <si>
    <t>ÇENE KORUMALI KAMUFLAJ AĞIZ MASKESİ</t>
  </si>
  <si>
    <t>STORM FOSFORLU YEŞİL AIRSOFT EL BOMBASI</t>
  </si>
  <si>
    <t>STORM SİYAH AIRSOFT EL BOMBASI</t>
  </si>
  <si>
    <t>ÇOKLU AIRSOFT BOMBA ATAR</t>
  </si>
  <si>
    <t>40 MM AIRSOFT BOMBA (65Lİ)</t>
  </si>
  <si>
    <t>ÖZEL KUVVETLER YEDEK ŞARJÖR</t>
  </si>
  <si>
    <t>MK13 AIRSOFT YEDEK ŞARJÖR</t>
  </si>
  <si>
    <t>M16 130'LUK YEDEK ŞARJÖR</t>
  </si>
  <si>
    <t>STORM SARI AIRSOFT EL BOMBASI</t>
  </si>
  <si>
    <t>MICRO RED DOT</t>
  </si>
  <si>
    <t>AW 308 SNIPER YAYLI AIRSOFT TÜFEK</t>
  </si>
  <si>
    <t>MICROGUN M132 AIRSOFT TÜFEK</t>
  </si>
  <si>
    <r>
      <t xml:space="preserve">CZ75 P09 TAN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HAV. TABANCA (PELLET)</t>
    </r>
  </si>
  <si>
    <t>DAN WESSON 715 4" FÜME TOPLU HAV. TABANCA</t>
  </si>
  <si>
    <t>DAN WESSON 715 4" P. KROM TOPLU HAV. TABANCA</t>
  </si>
  <si>
    <t>SCORPION EVO ÇİFTLİ ŞARJÖR KLİPSİ (2Lİ)</t>
  </si>
  <si>
    <r>
      <t xml:space="preserve">CZ P-10 C OR-OT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</si>
  <si>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STI PIT VIPER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</si>
  <si>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CZ SCORPION EVO 3 A1 ATEK ÇİFT RENK AIRSOFT TÜFEK</t>
  </si>
  <si>
    <t>WL-1080 SİYAH TAKTİK FENER</t>
  </si>
  <si>
    <t>ÖZEL KUVVETLER GAS YEDEK ŞARJÖR</t>
  </si>
  <si>
    <t>CZ SCORPION EVO 3 ATEK M95 AIRSOFT TÜFEK</t>
  </si>
  <si>
    <t>CZ SCORPION EVO 3 ATEK M95 ÇÖL AIRSOFT TÜFEK</t>
  </si>
  <si>
    <t>ARMALITE M15 DEVIL CQB 7" AIRSOFT TÜFEK</t>
  </si>
  <si>
    <t>HYBRID SERIES H-15 BET SİYAH AIRSOFT TÜFEK</t>
  </si>
  <si>
    <t>HYBRID SERIES H-15 CARBINE SİYAH AIRSOFT TÜFEK</t>
  </si>
  <si>
    <t>HYBRID SERIES H-15 CQB SİYAH AIRSOFT TÜFEK</t>
  </si>
  <si>
    <t>HERA ARMS H-22 STC SİYAH AIRSOFT TÜFEK</t>
  </si>
  <si>
    <t>HERA ARMS H-22 STC ÇÖL AIRSOFT TÜFEK</t>
  </si>
  <si>
    <t>HAVALI TABANCA - TÜFEK</t>
  </si>
  <si>
    <t>BARRA 4,5 CO2 PELLET SİYAH HAVALI TÜFEK</t>
  </si>
  <si>
    <r>
      <t xml:space="preserve">STI COMBAT MASTER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</si>
  <si>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BERSA THUNDER 9 PRO AIRSOFT YEDEK ŞARJÖR</t>
  </si>
  <si>
    <t>WL-1080 TAN TAKTİK FENER</t>
  </si>
  <si>
    <t>STI COMBAT MASTER CO2 AIRSOFT YEDEK ŞARJÖR</t>
  </si>
  <si>
    <t>STI COMBAT MASTER AIRSOFT YEDEK ŞARJÖR</t>
  </si>
  <si>
    <t>CZ P07 / P09 TAN POLİMER KILIF</t>
  </si>
  <si>
    <t>CZ SHADOW 2 AIRSOFT CO2 YEDEK ŞARJÖR</t>
  </si>
  <si>
    <t>FLCN 5.56 M95 SİYAH AIRSOFT TÜFEK</t>
  </si>
  <si>
    <t>CZ SCORPION EVO 3 SİYAH AIRSOFT TÜFEK</t>
  </si>
  <si>
    <t>TL-1900 SİYAH TAKTİK FENER</t>
  </si>
  <si>
    <t>M9 F92 AIRSOFT GAS YEDEK ŞARJÖR</t>
  </si>
  <si>
    <t>CZ 75 COMPACT AIRGUN CO2 YEDEK ŞARJÖR</t>
  </si>
  <si>
    <t>STEYR M9A1 AIRGUN YEDEK ŞARJÖR</t>
  </si>
  <si>
    <t>STI TAC MASTER AIRSOFT GAS YEDEK ŞARJÖR</t>
  </si>
  <si>
    <t>CZ SP01 SHADOW AIRGUN CO2 YEDEK ŞARJÖR</t>
  </si>
  <si>
    <t>CZ P09 AIRSOFT GAS YEDEK ŞARJÖR</t>
  </si>
  <si>
    <t>BERETTA X9 AIRGUN CO2 YEDEK ŞARJÖR</t>
  </si>
  <si>
    <t>ISSC M22 AIRGUN CO2 YEDEK ŞARJÖR</t>
  </si>
  <si>
    <r>
      <t xml:space="preserve">ISSC M22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AIRGUN CO2 YEDEK ŞARJÖR</t>
    </r>
  </si>
  <si>
    <t>CZ P-10 C AIRSOFT CO2 YEDEK ŞARJÖR</t>
  </si>
  <si>
    <r>
      <t xml:space="preserve">COMMANDER XP18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</si>
  <si>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ARMALITE M15 DEVIL CARBINE AIRSOFT TÜFEK</t>
  </si>
  <si>
    <t>11.1V 900 MAH SINGLE LİPO PİL 15C</t>
  </si>
  <si>
    <t>11.1V 1450 MAH 16,1WH 30C LİPO PİL</t>
  </si>
  <si>
    <t>11.1V 1500 MAH 16,65WH 15C LİPO PİL</t>
  </si>
  <si>
    <t>11.1V 1000 MAH 11,1WH 25C LİPO PİL</t>
  </si>
  <si>
    <t>9,6V 1600 MAH 15,36WH NİMH PİL</t>
  </si>
  <si>
    <t>11.1V 2200 MAH 24,42WH 30C LİPO PİL</t>
  </si>
  <si>
    <t>100'LÜK BB DOLDURMA APARATI</t>
  </si>
  <si>
    <t>M15 / M16 68'Lİ YEDEK ŞARJÖR</t>
  </si>
  <si>
    <t>HI-CAPA 5.1 POLİMER KILIF</t>
  </si>
  <si>
    <t>CZ P09 25Lİ YEDEK ŞARJÖR</t>
  </si>
  <si>
    <t>AW 308 BIPOD METAL ÇATAL AYAK</t>
  </si>
  <si>
    <t>AW 308 28Lİ SİYAH YEDEK ŞARJÖR</t>
  </si>
  <si>
    <t>ÇENE KORUMALI TAN AĞIZ MASKESİ</t>
  </si>
  <si>
    <t>BET CTU-XL TRACER UNIT</t>
  </si>
  <si>
    <r>
      <t xml:space="preserve">HELLCAT PRO SİYAH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HAVALI TABANCA</t>
    </r>
  </si>
  <si>
    <r>
      <t xml:space="preserve">ISSC M22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</si>
  <si>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MODIFY TRINITY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</si>
  <si>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SA XDE 4.5"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</si>
  <si>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HELLCAT PRO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</si>
  <si>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CZ P09 OPTIC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</si>
  <si>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r>
      <t>ISSC M22</t>
    </r>
    <r>
      <rPr>
        <b/>
        <sz val="22"/>
        <rFont val="Arial"/>
        <family val="2"/>
        <charset val="162"/>
      </rPr>
      <t xml:space="preserve"> AIRSOFT TABANCA</t>
    </r>
  </si>
  <si>
    <r>
      <t xml:space="preserve">CZ TS2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AIRSOFT TABANCA</t>
    </r>
  </si>
  <si>
    <t>ARSENAL SAM7R M95 AIRSOFT TÜFEK</t>
  </si>
  <si>
    <t>CZ SP-01 SHADOW AIRSOFT TABANCA</t>
  </si>
  <si>
    <r>
      <t xml:space="preserve">CZ P10 C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SİYAH ÇÖL AIRSOFT TABANCA</t>
    </r>
  </si>
  <si>
    <r>
      <t xml:space="preserve">CZ SHADOW 2 </t>
    </r>
    <r>
      <rPr>
        <b/>
        <sz val="22"/>
        <color rgb="FFFF0000"/>
        <rFont val="Arial"/>
        <family val="2"/>
        <charset val="162"/>
      </rPr>
      <t>BLOWBACK</t>
    </r>
    <r>
      <rPr>
        <b/>
        <sz val="22"/>
        <rFont val="Arial"/>
        <family val="2"/>
        <charset val="162"/>
      </rPr>
      <t xml:space="preserve"> HAVALI TAB.</t>
    </r>
  </si>
  <si>
    <t>DAN WESSON 715 2,5" P. KROM TOPLU HAV. TABANCA</t>
  </si>
  <si>
    <t>STI COMBAT MASTER BLOWBACK HAVALI TABANCA</t>
  </si>
  <si>
    <t>STI COMBAT MASTER AIRGUN 20 Lİ YEDEK ŞARJÖR</t>
  </si>
  <si>
    <t>ARMALITE M15 ASSAULT SİYAH AIRSOFT TÜFEK</t>
  </si>
  <si>
    <t>ACTION ARMY BLOWBACK TAN AIRSOFT TABANCA</t>
  </si>
  <si>
    <t>ACTION ARMY BLOWBACK SİYAH AIRSOFT TABANCA</t>
  </si>
  <si>
    <t>T11 PRO SNIPER YAYLI AIRSOFT TÜFEK</t>
  </si>
  <si>
    <t>CZ P-10C POLİMER SİYAH KILIF</t>
  </si>
  <si>
    <t>MODİFY TRINITY YEDEK ŞARJÖR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</si>
</sst>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₺&quot;_-;\-* #,##0.00\ &quot;₺&quot;_-;_-* &quot;-&quot;??\ &quot;₺&quot;_-;_-@_-"/>
    <numFmt numFmtId="165" formatCode="#,##0.00\ [$€-407]"/>
    <numFmt numFmtId="166" formatCode="#,##0.00\ &quot;₺&quot;"/>
  </numFmts>
  <fonts count="1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26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6"/>
      <color theme="1"/>
      <name val="Arial"/>
      <family val="2"/>
      <charset val="162"/>
    </font>
    <font>
      <b/>
      <sz val="48"/>
      <color theme="1"/>
      <name val="Arial"/>
      <family val="2"/>
      <charset val="162"/>
    </font>
    <font>
      <b/>
      <sz val="22"/>
      <name val="Arial"/>
      <family val="2"/>
      <charset val="162"/>
    </font>
    <font>
      <sz val="22"/>
      <color theme="1"/>
      <name val="Arial"/>
      <family val="2"/>
      <charset val="162"/>
    </font>
    <font>
      <b/>
      <sz val="24"/>
      <name val="Arial"/>
      <family val="2"/>
      <charset val="162"/>
    </font>
    <font>
      <b/>
      <sz val="36"/>
      <color theme="1"/>
      <name val="Arial"/>
      <family val="2"/>
      <charset val="162"/>
    </font>
    <font>
      <sz val="20"/>
      <color theme="1"/>
      <name val="Arial"/>
      <family val="2"/>
      <charset val="162"/>
    </font>
    <font>
      <sz val="24"/>
      <color theme="1"/>
      <name val="Arial"/>
      <family val="2"/>
      <charset val="162"/>
    </font>
    <font>
      <b/>
      <sz val="22"/>
      <color rgb="FFFF0000"/>
      <name val="Arial"/>
      <family val="2"/>
      <charset val="162"/>
    </font>
    <font>
      <sz val="20"/>
      <name val="Arial"/>
      <family val="2"/>
      <charset val="162"/>
    </font>
    <font>
      <sz val="8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3" fillId="3" borderId="0" xfId="0" applyFont="1" applyFill="1"/>
    <xf numFmtId="0" fontId="10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8" fillId="2" borderId="1" xfId="0" applyFont="1" applyFill="1" applyBorder="1" applyAlignment="1">
      <alignment horizontal="center" wrapText="1"/>
    </xf>
    <xf numFmtId="0" fontId="11" fillId="0" borderId="0" xfId="0" applyFont="1"/>
    <xf numFmtId="164" fontId="12" fillId="0" borderId="0" xfId="1" applyFont="1" applyFill="1" applyBorder="1"/>
    <xf numFmtId="165" fontId="6" fillId="0" borderId="0" xfId="0" applyNumberFormat="1" applyFon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164" fontId="6" fillId="5" borderId="0" xfId="1" applyFont="1" applyFill="1" applyBorder="1"/>
    <xf numFmtId="0" fontId="13" fillId="5" borderId="0" xfId="0" applyFont="1" applyFill="1"/>
    <xf numFmtId="164" fontId="6" fillId="6" borderId="0" xfId="1" applyFont="1" applyFill="1" applyBorder="1"/>
    <xf numFmtId="0" fontId="13" fillId="6" borderId="0" xfId="0" applyFont="1" applyFill="1"/>
    <xf numFmtId="164" fontId="6" fillId="4" borderId="0" xfId="1" applyFont="1" applyFill="1" applyBorder="1"/>
    <xf numFmtId="0" fontId="13" fillId="4" borderId="0" xfId="0" applyFont="1" applyFill="1"/>
    <xf numFmtId="0" fontId="6" fillId="5" borderId="2" xfId="0" applyFont="1" applyFill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/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165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 wrapText="1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1285875</xdr:colOff>
      <xdr:row>1</xdr:row>
      <xdr:rowOff>0</xdr:rowOff>
    </xdr:from>
    <xdr:to>
      <xdr:col>0</xdr:col>
      <xdr:colOff>1289503</xdr:colOff>
      <xdr:row>1</xdr:row>
      <xdr:rowOff>377025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5" y="31750"/>
          <a:ext cx="2162175" cy="57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26760</xdr:colOff>
      <xdr:row>0</xdr:row>
      <xdr:rowOff>76200</xdr:rowOff>
    </xdr:from>
    <xdr:to>
      <xdr:col>0</xdr:col>
      <xdr:colOff>2768145</xdr:colOff>
      <xdr:row>0</xdr:row>
      <xdr:rowOff>723900</xdr:rowOff>
    </xdr:to>
    <xdr:pic>
      <xdr:nvPicPr>
        <xdr:cNvPr id="50" name="Resim 3" descr="C:\Users\ali\Downloads\Untitled-1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0" y="76200"/>
          <a:ext cx="2749322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43</xdr:row>
      <xdr:rowOff>83685</xdr:rowOff>
    </xdr:from>
    <xdr:ext cx="2757260" cy="551846"/>
    <xdr:pic>
      <xdr:nvPicPr>
        <xdr:cNvPr id="73" name="Resim 3" descr="C:\Users\ali\Downloads\Untitled-1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77185"/>
          <a:ext cx="2757260" cy="551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781050</xdr:colOff>
      <xdr:row>0</xdr:row>
      <xdr:rowOff>57151</xdr:rowOff>
    </xdr:from>
    <xdr:to>
      <xdr:col>3</xdr:col>
      <xdr:colOff>2819400</xdr:colOff>
      <xdr:row>0</xdr:row>
      <xdr:rowOff>776289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39950" y="57151"/>
          <a:ext cx="203835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742950</xdr:colOff>
      <xdr:row>43</xdr:row>
      <xdr:rowOff>50800</xdr:rowOff>
    </xdr:from>
    <xdr:to>
      <xdr:col>3</xdr:col>
      <xdr:colOff>2781300</xdr:colOff>
      <xdr:row>43</xdr:row>
      <xdr:rowOff>731837</xdr:rowOff>
    </xdr:to>
    <xdr:pic>
      <xdr:nvPicPr>
        <xdr:cNvPr id="61" name="Resi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01850" y="22720300"/>
          <a:ext cx="2038350" cy="685800"/>
        </a:xfrm>
        <a:prstGeom prst="rect">
          <a:avLst/>
        </a:prstGeom>
      </xdr:spPr>
    </xdr:pic>
    <xdr:clientData/>
  </xdr:twoCellAnchor>
  <xdr:oneCellAnchor>
    <xdr:from>
      <xdr:col>0</xdr:col>
      <xdr:colOff>63500</xdr:colOff>
      <xdr:row>198</xdr:row>
      <xdr:rowOff>95250</xdr:rowOff>
    </xdr:from>
    <xdr:ext cx="2757260" cy="556003"/>
    <xdr:pic>
      <xdr:nvPicPr>
        <xdr:cNvPr id="13" name="Resim 3" descr="C:\Users\ali\Downloads\Untitled-1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80010000"/>
          <a:ext cx="2757260" cy="556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769937</xdr:colOff>
      <xdr:row>198</xdr:row>
      <xdr:rowOff>71438</xdr:rowOff>
    </xdr:from>
    <xdr:ext cx="2038350" cy="736600"/>
    <xdr:pic>
      <xdr:nvPicPr>
        <xdr:cNvPr id="14" name="Resi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19312" y="79986188"/>
          <a:ext cx="2038350" cy="7366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264</xdr:row>
      <xdr:rowOff>142875</xdr:rowOff>
    </xdr:from>
    <xdr:ext cx="2757260" cy="556003"/>
    <xdr:pic>
      <xdr:nvPicPr>
        <xdr:cNvPr id="15" name="Resim 3" descr="C:\Users\ali\Downloads\Untitled-1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5846563"/>
          <a:ext cx="2757260" cy="556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714375</xdr:colOff>
      <xdr:row>264</xdr:row>
      <xdr:rowOff>119063</xdr:rowOff>
    </xdr:from>
    <xdr:ext cx="2038350" cy="736600"/>
    <xdr:pic>
      <xdr:nvPicPr>
        <xdr:cNvPr id="16" name="Resi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63750" y="105822751"/>
          <a:ext cx="2038350" cy="736600"/>
        </a:xfrm>
        <a:prstGeom prst="rect">
          <a:avLst/>
        </a:prstGeom>
      </xdr:spPr>
    </xdr:pic>
    <xdr:clientData/>
  </xdr:oneCellAnchor>
  <xdr:oneCellAnchor>
    <xdr:from>
      <xdr:col>0</xdr:col>
      <xdr:colOff>63500</xdr:colOff>
      <xdr:row>144</xdr:row>
      <xdr:rowOff>95250</xdr:rowOff>
    </xdr:from>
    <xdr:ext cx="2757260" cy="556003"/>
    <xdr:pic>
      <xdr:nvPicPr>
        <xdr:cNvPr id="6" name="Resim 3" descr="C:\Users\ali\Downloads\Untitled-1.jpg">
          <a:extLst>
            <a:ext uri="{FF2B5EF4-FFF2-40B4-BE49-F238E27FC236}">
              <a16:creationId xmlns:a16="http://schemas.microsoft.com/office/drawing/2014/main" id="{6E07D0A5-B1A1-4A98-99F7-3BFEF7236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105537000"/>
          <a:ext cx="2757260" cy="556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769937</xdr:colOff>
      <xdr:row>144</xdr:row>
      <xdr:rowOff>71438</xdr:rowOff>
    </xdr:from>
    <xdr:ext cx="2038350" cy="736600"/>
    <xdr:pic>
      <xdr:nvPicPr>
        <xdr:cNvPr id="7" name="Resim 6">
          <a:extLst>
            <a:ext uri="{FF2B5EF4-FFF2-40B4-BE49-F238E27FC236}">
              <a16:creationId xmlns:a16="http://schemas.microsoft.com/office/drawing/2014/main" id="{55FA856D-221F-4B00-A34C-A1D55542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62562" y="105513188"/>
          <a:ext cx="2038350" cy="7366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83685</xdr:rowOff>
    </xdr:from>
    <xdr:ext cx="2757260" cy="551846"/>
    <xdr:pic>
      <xdr:nvPicPr>
        <xdr:cNvPr id="4" name="Resim 3" descr="C:\Users\ali\Downloads\Untitled-1.jpg">
          <a:extLst>
            <a:ext uri="{FF2B5EF4-FFF2-40B4-BE49-F238E27FC236}">
              <a16:creationId xmlns:a16="http://schemas.microsoft.com/office/drawing/2014/main" id="{1E8F8419-79DF-413C-89CF-D22EDEBC8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72998"/>
          <a:ext cx="2757260" cy="551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742950</xdr:colOff>
      <xdr:row>85</xdr:row>
      <xdr:rowOff>50800</xdr:rowOff>
    </xdr:from>
    <xdr:ext cx="2038350" cy="681037"/>
    <xdr:pic>
      <xdr:nvPicPr>
        <xdr:cNvPr id="5" name="Resim 4">
          <a:extLst>
            <a:ext uri="{FF2B5EF4-FFF2-40B4-BE49-F238E27FC236}">
              <a16:creationId xmlns:a16="http://schemas.microsoft.com/office/drawing/2014/main" id="{13A94457-8D02-454C-8B31-73477B18F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35575" y="28840113"/>
          <a:ext cx="2038350" cy="6810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D294"/>
  <sheetViews>
    <sheetView tabSelected="1" zoomScale="40" zoomScaleNormal="40" zoomScaleSheetLayoutView="40" workbookViewId="0">
      <selection activeCell="A2" sqref="A2:D2"/>
    </sheetView>
  </sheetViews>
  <sheetFormatPr defaultRowHeight="12.75" x14ac:dyDescent="0.2"/>
  <cols>
    <col min="1" max="1" width="44.28515625" style="1" customWidth="1"/>
    <col min="2" max="2" width="164.85546875" style="1" customWidth="1"/>
    <col min="3" max="3" width="48.7109375" style="1" customWidth="1"/>
    <col min="4" max="4" width="44.42578125" style="1" customWidth="1"/>
    <col min="5" max="123" width="9.140625" style="1"/>
    <col min="124" max="124" width="5.28515625" style="1" customWidth="1"/>
    <col min="125" max="125" width="8" style="1" customWidth="1"/>
    <col min="126" max="126" width="57.85546875" style="1" customWidth="1"/>
    <col min="127" max="127" width="8.5703125" style="1" bestFit="1" customWidth="1"/>
    <col min="128" max="379" width="9.140625" style="1"/>
    <col min="380" max="380" width="5.28515625" style="1" customWidth="1"/>
    <col min="381" max="381" width="8" style="1" customWidth="1"/>
    <col min="382" max="382" width="57.85546875" style="1" customWidth="1"/>
    <col min="383" max="383" width="8.5703125" style="1" bestFit="1" customWidth="1"/>
    <col min="384" max="635" width="9.140625" style="1"/>
    <col min="636" max="636" width="5.28515625" style="1" customWidth="1"/>
    <col min="637" max="637" width="8" style="1" customWidth="1"/>
    <col min="638" max="638" width="57.85546875" style="1" customWidth="1"/>
    <col min="639" max="639" width="8.5703125" style="1" bestFit="1" customWidth="1"/>
    <col min="640" max="891" width="9.140625" style="1"/>
    <col min="892" max="892" width="5.28515625" style="1" customWidth="1"/>
    <col min="893" max="893" width="8" style="1" customWidth="1"/>
    <col min="894" max="894" width="57.85546875" style="1" customWidth="1"/>
    <col min="895" max="895" width="8.5703125" style="1" bestFit="1" customWidth="1"/>
    <col min="896" max="1147" width="9.140625" style="1"/>
    <col min="1148" max="1148" width="5.28515625" style="1" customWidth="1"/>
    <col min="1149" max="1149" width="8" style="1" customWidth="1"/>
    <col min="1150" max="1150" width="57.85546875" style="1" customWidth="1"/>
    <col min="1151" max="1151" width="8.5703125" style="1" bestFit="1" customWidth="1"/>
    <col min="1152" max="1403" width="9.140625" style="1"/>
    <col min="1404" max="1404" width="5.28515625" style="1" customWidth="1"/>
    <col min="1405" max="1405" width="8" style="1" customWidth="1"/>
    <col min="1406" max="1406" width="57.85546875" style="1" customWidth="1"/>
    <col min="1407" max="1407" width="8.5703125" style="1" bestFit="1" customWidth="1"/>
    <col min="1408" max="1659" width="9.140625" style="1"/>
    <col min="1660" max="1660" width="5.28515625" style="1" customWidth="1"/>
    <col min="1661" max="1661" width="8" style="1" customWidth="1"/>
    <col min="1662" max="1662" width="57.85546875" style="1" customWidth="1"/>
    <col min="1663" max="1663" width="8.5703125" style="1" bestFit="1" customWidth="1"/>
    <col min="1664" max="1915" width="9.140625" style="1"/>
    <col min="1916" max="1916" width="5.28515625" style="1" customWidth="1"/>
    <col min="1917" max="1917" width="8" style="1" customWidth="1"/>
    <col min="1918" max="1918" width="57.85546875" style="1" customWidth="1"/>
    <col min="1919" max="1919" width="8.5703125" style="1" bestFit="1" customWidth="1"/>
    <col min="1920" max="2171" width="9.140625" style="1"/>
    <col min="2172" max="2172" width="5.28515625" style="1" customWidth="1"/>
    <col min="2173" max="2173" width="8" style="1" customWidth="1"/>
    <col min="2174" max="2174" width="57.85546875" style="1" customWidth="1"/>
    <col min="2175" max="2175" width="8.5703125" style="1" bestFit="1" customWidth="1"/>
    <col min="2176" max="2427" width="9.140625" style="1"/>
    <col min="2428" max="2428" width="5.28515625" style="1" customWidth="1"/>
    <col min="2429" max="2429" width="8" style="1" customWidth="1"/>
    <col min="2430" max="2430" width="57.85546875" style="1" customWidth="1"/>
    <col min="2431" max="2431" width="8.5703125" style="1" bestFit="1" customWidth="1"/>
    <col min="2432" max="2683" width="9.140625" style="1"/>
    <col min="2684" max="2684" width="5.28515625" style="1" customWidth="1"/>
    <col min="2685" max="2685" width="8" style="1" customWidth="1"/>
    <col min="2686" max="2686" width="57.85546875" style="1" customWidth="1"/>
    <col min="2687" max="2687" width="8.5703125" style="1" bestFit="1" customWidth="1"/>
    <col min="2688" max="2939" width="9.140625" style="1"/>
    <col min="2940" max="2940" width="5.28515625" style="1" customWidth="1"/>
    <col min="2941" max="2941" width="8" style="1" customWidth="1"/>
    <col min="2942" max="2942" width="57.85546875" style="1" customWidth="1"/>
    <col min="2943" max="2943" width="8.5703125" style="1" bestFit="1" customWidth="1"/>
    <col min="2944" max="3195" width="9.140625" style="1"/>
    <col min="3196" max="3196" width="5.28515625" style="1" customWidth="1"/>
    <col min="3197" max="3197" width="8" style="1" customWidth="1"/>
    <col min="3198" max="3198" width="57.85546875" style="1" customWidth="1"/>
    <col min="3199" max="3199" width="8.5703125" style="1" bestFit="1" customWidth="1"/>
    <col min="3200" max="3451" width="9.140625" style="1"/>
    <col min="3452" max="3452" width="5.28515625" style="1" customWidth="1"/>
    <col min="3453" max="3453" width="8" style="1" customWidth="1"/>
    <col min="3454" max="3454" width="57.85546875" style="1" customWidth="1"/>
    <col min="3455" max="3455" width="8.5703125" style="1" bestFit="1" customWidth="1"/>
    <col min="3456" max="3707" width="9.140625" style="1"/>
    <col min="3708" max="3708" width="5.28515625" style="1" customWidth="1"/>
    <col min="3709" max="3709" width="8" style="1" customWidth="1"/>
    <col min="3710" max="3710" width="57.85546875" style="1" customWidth="1"/>
    <col min="3711" max="3711" width="8.5703125" style="1" bestFit="1" customWidth="1"/>
    <col min="3712" max="3963" width="9.140625" style="1"/>
    <col min="3964" max="3964" width="5.28515625" style="1" customWidth="1"/>
    <col min="3965" max="3965" width="8" style="1" customWidth="1"/>
    <col min="3966" max="3966" width="57.85546875" style="1" customWidth="1"/>
    <col min="3967" max="3967" width="8.5703125" style="1" bestFit="1" customWidth="1"/>
    <col min="3968" max="4219" width="9.140625" style="1"/>
    <col min="4220" max="4220" width="5.28515625" style="1" customWidth="1"/>
    <col min="4221" max="4221" width="8" style="1" customWidth="1"/>
    <col min="4222" max="4222" width="57.85546875" style="1" customWidth="1"/>
    <col min="4223" max="4223" width="8.5703125" style="1" bestFit="1" customWidth="1"/>
    <col min="4224" max="4475" width="9.140625" style="1"/>
    <col min="4476" max="4476" width="5.28515625" style="1" customWidth="1"/>
    <col min="4477" max="4477" width="8" style="1" customWidth="1"/>
    <col min="4478" max="4478" width="57.85546875" style="1" customWidth="1"/>
    <col min="4479" max="4479" width="8.5703125" style="1" bestFit="1" customWidth="1"/>
    <col min="4480" max="4731" width="9.140625" style="1"/>
    <col min="4732" max="4732" width="5.28515625" style="1" customWidth="1"/>
    <col min="4733" max="4733" width="8" style="1" customWidth="1"/>
    <col min="4734" max="4734" width="57.85546875" style="1" customWidth="1"/>
    <col min="4735" max="4735" width="8.5703125" style="1" bestFit="1" customWidth="1"/>
    <col min="4736" max="4987" width="9.140625" style="1"/>
    <col min="4988" max="4988" width="5.28515625" style="1" customWidth="1"/>
    <col min="4989" max="4989" width="8" style="1" customWidth="1"/>
    <col min="4990" max="4990" width="57.85546875" style="1" customWidth="1"/>
    <col min="4991" max="4991" width="8.5703125" style="1" bestFit="1" customWidth="1"/>
    <col min="4992" max="5243" width="9.140625" style="1"/>
    <col min="5244" max="5244" width="5.28515625" style="1" customWidth="1"/>
    <col min="5245" max="5245" width="8" style="1" customWidth="1"/>
    <col min="5246" max="5246" width="57.85546875" style="1" customWidth="1"/>
    <col min="5247" max="5247" width="8.5703125" style="1" bestFit="1" customWidth="1"/>
    <col min="5248" max="5499" width="9.140625" style="1"/>
    <col min="5500" max="5500" width="5.28515625" style="1" customWidth="1"/>
    <col min="5501" max="5501" width="8" style="1" customWidth="1"/>
    <col min="5502" max="5502" width="57.85546875" style="1" customWidth="1"/>
    <col min="5503" max="5503" width="8.5703125" style="1" bestFit="1" customWidth="1"/>
    <col min="5504" max="5755" width="9.140625" style="1"/>
    <col min="5756" max="5756" width="5.28515625" style="1" customWidth="1"/>
    <col min="5757" max="5757" width="8" style="1" customWidth="1"/>
    <col min="5758" max="5758" width="57.85546875" style="1" customWidth="1"/>
    <col min="5759" max="5759" width="8.5703125" style="1" bestFit="1" customWidth="1"/>
    <col min="5760" max="6011" width="9.140625" style="1"/>
    <col min="6012" max="6012" width="5.28515625" style="1" customWidth="1"/>
    <col min="6013" max="6013" width="8" style="1" customWidth="1"/>
    <col min="6014" max="6014" width="57.85546875" style="1" customWidth="1"/>
    <col min="6015" max="6015" width="8.5703125" style="1" bestFit="1" customWidth="1"/>
    <col min="6016" max="6267" width="9.140625" style="1"/>
    <col min="6268" max="6268" width="5.28515625" style="1" customWidth="1"/>
    <col min="6269" max="6269" width="8" style="1" customWidth="1"/>
    <col min="6270" max="6270" width="57.85546875" style="1" customWidth="1"/>
    <col min="6271" max="6271" width="8.5703125" style="1" bestFit="1" customWidth="1"/>
    <col min="6272" max="6523" width="9.140625" style="1"/>
    <col min="6524" max="6524" width="5.28515625" style="1" customWidth="1"/>
    <col min="6525" max="6525" width="8" style="1" customWidth="1"/>
    <col min="6526" max="6526" width="57.85546875" style="1" customWidth="1"/>
    <col min="6527" max="6527" width="8.5703125" style="1" bestFit="1" customWidth="1"/>
    <col min="6528" max="6779" width="9.140625" style="1"/>
    <col min="6780" max="6780" width="5.28515625" style="1" customWidth="1"/>
    <col min="6781" max="6781" width="8" style="1" customWidth="1"/>
    <col min="6782" max="6782" width="57.85546875" style="1" customWidth="1"/>
    <col min="6783" max="6783" width="8.5703125" style="1" bestFit="1" customWidth="1"/>
    <col min="6784" max="7035" width="9.140625" style="1"/>
    <col min="7036" max="7036" width="5.28515625" style="1" customWidth="1"/>
    <col min="7037" max="7037" width="8" style="1" customWidth="1"/>
    <col min="7038" max="7038" width="57.85546875" style="1" customWidth="1"/>
    <col min="7039" max="7039" width="8.5703125" style="1" bestFit="1" customWidth="1"/>
    <col min="7040" max="7291" width="9.140625" style="1"/>
    <col min="7292" max="7292" width="5.28515625" style="1" customWidth="1"/>
    <col min="7293" max="7293" width="8" style="1" customWidth="1"/>
    <col min="7294" max="7294" width="57.85546875" style="1" customWidth="1"/>
    <col min="7295" max="7295" width="8.5703125" style="1" bestFit="1" customWidth="1"/>
    <col min="7296" max="7547" width="9.140625" style="1"/>
    <col min="7548" max="7548" width="5.28515625" style="1" customWidth="1"/>
    <col min="7549" max="7549" width="8" style="1" customWidth="1"/>
    <col min="7550" max="7550" width="57.85546875" style="1" customWidth="1"/>
    <col min="7551" max="7551" width="8.5703125" style="1" bestFit="1" customWidth="1"/>
    <col min="7552" max="7803" width="9.140625" style="1"/>
    <col min="7804" max="7804" width="5.28515625" style="1" customWidth="1"/>
    <col min="7805" max="7805" width="8" style="1" customWidth="1"/>
    <col min="7806" max="7806" width="57.85546875" style="1" customWidth="1"/>
    <col min="7807" max="7807" width="8.5703125" style="1" bestFit="1" customWidth="1"/>
    <col min="7808" max="8059" width="9.140625" style="1"/>
    <col min="8060" max="8060" width="5.28515625" style="1" customWidth="1"/>
    <col min="8061" max="8061" width="8" style="1" customWidth="1"/>
    <col min="8062" max="8062" width="57.85546875" style="1" customWidth="1"/>
    <col min="8063" max="8063" width="8.5703125" style="1" bestFit="1" customWidth="1"/>
    <col min="8064" max="8315" width="9.140625" style="1"/>
    <col min="8316" max="8316" width="5.28515625" style="1" customWidth="1"/>
    <col min="8317" max="8317" width="8" style="1" customWidth="1"/>
    <col min="8318" max="8318" width="57.85546875" style="1" customWidth="1"/>
    <col min="8319" max="8319" width="8.5703125" style="1" bestFit="1" customWidth="1"/>
    <col min="8320" max="8571" width="9.140625" style="1"/>
    <col min="8572" max="8572" width="5.28515625" style="1" customWidth="1"/>
    <col min="8573" max="8573" width="8" style="1" customWidth="1"/>
    <col min="8574" max="8574" width="57.85546875" style="1" customWidth="1"/>
    <col min="8575" max="8575" width="8.5703125" style="1" bestFit="1" customWidth="1"/>
    <col min="8576" max="8827" width="9.140625" style="1"/>
    <col min="8828" max="8828" width="5.28515625" style="1" customWidth="1"/>
    <col min="8829" max="8829" width="8" style="1" customWidth="1"/>
    <col min="8830" max="8830" width="57.85546875" style="1" customWidth="1"/>
    <col min="8831" max="8831" width="8.5703125" style="1" bestFit="1" customWidth="1"/>
    <col min="8832" max="9083" width="9.140625" style="1"/>
    <col min="9084" max="9084" width="5.28515625" style="1" customWidth="1"/>
    <col min="9085" max="9085" width="8" style="1" customWidth="1"/>
    <col min="9086" max="9086" width="57.85546875" style="1" customWidth="1"/>
    <col min="9087" max="9087" width="8.5703125" style="1" bestFit="1" customWidth="1"/>
    <col min="9088" max="9339" width="9.140625" style="1"/>
    <col min="9340" max="9340" width="5.28515625" style="1" customWidth="1"/>
    <col min="9341" max="9341" width="8" style="1" customWidth="1"/>
    <col min="9342" max="9342" width="57.85546875" style="1" customWidth="1"/>
    <col min="9343" max="9343" width="8.5703125" style="1" bestFit="1" customWidth="1"/>
    <col min="9344" max="9595" width="9.140625" style="1"/>
    <col min="9596" max="9596" width="5.28515625" style="1" customWidth="1"/>
    <col min="9597" max="9597" width="8" style="1" customWidth="1"/>
    <col min="9598" max="9598" width="57.85546875" style="1" customWidth="1"/>
    <col min="9599" max="9599" width="8.5703125" style="1" bestFit="1" customWidth="1"/>
    <col min="9600" max="9851" width="9.140625" style="1"/>
    <col min="9852" max="9852" width="5.28515625" style="1" customWidth="1"/>
    <col min="9853" max="9853" width="8" style="1" customWidth="1"/>
    <col min="9854" max="9854" width="57.85546875" style="1" customWidth="1"/>
    <col min="9855" max="9855" width="8.5703125" style="1" bestFit="1" customWidth="1"/>
    <col min="9856" max="10107" width="9.140625" style="1"/>
    <col min="10108" max="10108" width="5.28515625" style="1" customWidth="1"/>
    <col min="10109" max="10109" width="8" style="1" customWidth="1"/>
    <col min="10110" max="10110" width="57.85546875" style="1" customWidth="1"/>
    <col min="10111" max="10111" width="8.5703125" style="1" bestFit="1" customWidth="1"/>
    <col min="10112" max="10363" width="9.140625" style="1"/>
    <col min="10364" max="10364" width="5.28515625" style="1" customWidth="1"/>
    <col min="10365" max="10365" width="8" style="1" customWidth="1"/>
    <col min="10366" max="10366" width="57.85546875" style="1" customWidth="1"/>
    <col min="10367" max="10367" width="8.5703125" style="1" bestFit="1" customWidth="1"/>
    <col min="10368" max="10619" width="9.140625" style="1"/>
    <col min="10620" max="10620" width="5.28515625" style="1" customWidth="1"/>
    <col min="10621" max="10621" width="8" style="1" customWidth="1"/>
    <col min="10622" max="10622" width="57.85546875" style="1" customWidth="1"/>
    <col min="10623" max="10623" width="8.5703125" style="1" bestFit="1" customWidth="1"/>
    <col min="10624" max="10875" width="9.140625" style="1"/>
    <col min="10876" max="10876" width="5.28515625" style="1" customWidth="1"/>
    <col min="10877" max="10877" width="8" style="1" customWidth="1"/>
    <col min="10878" max="10878" width="57.85546875" style="1" customWidth="1"/>
    <col min="10879" max="10879" width="8.5703125" style="1" bestFit="1" customWidth="1"/>
    <col min="10880" max="11131" width="9.140625" style="1"/>
    <col min="11132" max="11132" width="5.28515625" style="1" customWidth="1"/>
    <col min="11133" max="11133" width="8" style="1" customWidth="1"/>
    <col min="11134" max="11134" width="57.85546875" style="1" customWidth="1"/>
    <col min="11135" max="11135" width="8.5703125" style="1" bestFit="1" customWidth="1"/>
    <col min="11136" max="11387" width="9.140625" style="1"/>
    <col min="11388" max="11388" width="5.28515625" style="1" customWidth="1"/>
    <col min="11389" max="11389" width="8" style="1" customWidth="1"/>
    <col min="11390" max="11390" width="57.85546875" style="1" customWidth="1"/>
    <col min="11391" max="11391" width="8.5703125" style="1" bestFit="1" customWidth="1"/>
    <col min="11392" max="11643" width="9.140625" style="1"/>
    <col min="11644" max="11644" width="5.28515625" style="1" customWidth="1"/>
    <col min="11645" max="11645" width="8" style="1" customWidth="1"/>
    <col min="11646" max="11646" width="57.85546875" style="1" customWidth="1"/>
    <col min="11647" max="11647" width="8.5703125" style="1" bestFit="1" customWidth="1"/>
    <col min="11648" max="11899" width="9.140625" style="1"/>
    <col min="11900" max="11900" width="5.28515625" style="1" customWidth="1"/>
    <col min="11901" max="11901" width="8" style="1" customWidth="1"/>
    <col min="11902" max="11902" width="57.85546875" style="1" customWidth="1"/>
    <col min="11903" max="11903" width="8.5703125" style="1" bestFit="1" customWidth="1"/>
    <col min="11904" max="12155" width="9.140625" style="1"/>
    <col min="12156" max="12156" width="5.28515625" style="1" customWidth="1"/>
    <col min="12157" max="12157" width="8" style="1" customWidth="1"/>
    <col min="12158" max="12158" width="57.85546875" style="1" customWidth="1"/>
    <col min="12159" max="12159" width="8.5703125" style="1" bestFit="1" customWidth="1"/>
    <col min="12160" max="12411" width="9.140625" style="1"/>
    <col min="12412" max="12412" width="5.28515625" style="1" customWidth="1"/>
    <col min="12413" max="12413" width="8" style="1" customWidth="1"/>
    <col min="12414" max="12414" width="57.85546875" style="1" customWidth="1"/>
    <col min="12415" max="12415" width="8.5703125" style="1" bestFit="1" customWidth="1"/>
    <col min="12416" max="12667" width="9.140625" style="1"/>
    <col min="12668" max="12668" width="5.28515625" style="1" customWidth="1"/>
    <col min="12669" max="12669" width="8" style="1" customWidth="1"/>
    <col min="12670" max="12670" width="57.85546875" style="1" customWidth="1"/>
    <col min="12671" max="12671" width="8.5703125" style="1" bestFit="1" customWidth="1"/>
    <col min="12672" max="12923" width="9.140625" style="1"/>
    <col min="12924" max="12924" width="5.28515625" style="1" customWidth="1"/>
    <col min="12925" max="12925" width="8" style="1" customWidth="1"/>
    <col min="12926" max="12926" width="57.85546875" style="1" customWidth="1"/>
    <col min="12927" max="12927" width="8.5703125" style="1" bestFit="1" customWidth="1"/>
    <col min="12928" max="13179" width="9.140625" style="1"/>
    <col min="13180" max="13180" width="5.28515625" style="1" customWidth="1"/>
    <col min="13181" max="13181" width="8" style="1" customWidth="1"/>
    <col min="13182" max="13182" width="57.85546875" style="1" customWidth="1"/>
    <col min="13183" max="13183" width="8.5703125" style="1" bestFit="1" customWidth="1"/>
    <col min="13184" max="13435" width="9.140625" style="1"/>
    <col min="13436" max="13436" width="5.28515625" style="1" customWidth="1"/>
    <col min="13437" max="13437" width="8" style="1" customWidth="1"/>
    <col min="13438" max="13438" width="57.85546875" style="1" customWidth="1"/>
    <col min="13439" max="13439" width="8.5703125" style="1" bestFit="1" customWidth="1"/>
    <col min="13440" max="13691" width="9.140625" style="1"/>
    <col min="13692" max="13692" width="5.28515625" style="1" customWidth="1"/>
    <col min="13693" max="13693" width="8" style="1" customWidth="1"/>
    <col min="13694" max="13694" width="57.85546875" style="1" customWidth="1"/>
    <col min="13695" max="13695" width="8.5703125" style="1" bestFit="1" customWidth="1"/>
    <col min="13696" max="13947" width="9.140625" style="1"/>
    <col min="13948" max="13948" width="5.28515625" style="1" customWidth="1"/>
    <col min="13949" max="13949" width="8" style="1" customWidth="1"/>
    <col min="13950" max="13950" width="57.85546875" style="1" customWidth="1"/>
    <col min="13951" max="13951" width="8.5703125" style="1" bestFit="1" customWidth="1"/>
    <col min="13952" max="14203" width="9.140625" style="1"/>
    <col min="14204" max="14204" width="5.28515625" style="1" customWidth="1"/>
    <col min="14205" max="14205" width="8" style="1" customWidth="1"/>
    <col min="14206" max="14206" width="57.85546875" style="1" customWidth="1"/>
    <col min="14207" max="14207" width="8.5703125" style="1" bestFit="1" customWidth="1"/>
    <col min="14208" max="14459" width="9.140625" style="1"/>
    <col min="14460" max="14460" width="5.28515625" style="1" customWidth="1"/>
    <col min="14461" max="14461" width="8" style="1" customWidth="1"/>
    <col min="14462" max="14462" width="57.85546875" style="1" customWidth="1"/>
    <col min="14463" max="14463" width="8.5703125" style="1" bestFit="1" customWidth="1"/>
    <col min="14464" max="14715" width="9.140625" style="1"/>
    <col min="14716" max="14716" width="5.28515625" style="1" customWidth="1"/>
    <col min="14717" max="14717" width="8" style="1" customWidth="1"/>
    <col min="14718" max="14718" width="57.85546875" style="1" customWidth="1"/>
    <col min="14719" max="14719" width="8.5703125" style="1" bestFit="1" customWidth="1"/>
    <col min="14720" max="14971" width="9.140625" style="1"/>
    <col min="14972" max="14972" width="5.28515625" style="1" customWidth="1"/>
    <col min="14973" max="14973" width="8" style="1" customWidth="1"/>
    <col min="14974" max="14974" width="57.85546875" style="1" customWidth="1"/>
    <col min="14975" max="14975" width="8.5703125" style="1" bestFit="1" customWidth="1"/>
    <col min="14976" max="15227" width="9.140625" style="1"/>
    <col min="15228" max="15228" width="5.28515625" style="1" customWidth="1"/>
    <col min="15229" max="15229" width="8" style="1" customWidth="1"/>
    <col min="15230" max="15230" width="57.85546875" style="1" customWidth="1"/>
    <col min="15231" max="15231" width="8.5703125" style="1" bestFit="1" customWidth="1"/>
    <col min="15232" max="15483" width="9.140625" style="1"/>
    <col min="15484" max="15484" width="5.28515625" style="1" customWidth="1"/>
    <col min="15485" max="15485" width="8" style="1" customWidth="1"/>
    <col min="15486" max="15486" width="57.85546875" style="1" customWidth="1"/>
    <col min="15487" max="15487" width="8.5703125" style="1" bestFit="1" customWidth="1"/>
    <col min="15488" max="15739" width="9.140625" style="1"/>
    <col min="15740" max="15740" width="5.28515625" style="1" customWidth="1"/>
    <col min="15741" max="15741" width="8" style="1" customWidth="1"/>
    <col min="15742" max="15742" width="57.85546875" style="1" customWidth="1"/>
    <col min="15743" max="15743" width="8.5703125" style="1" bestFit="1" customWidth="1"/>
    <col min="15744" max="16384" width="9.140625" style="1"/>
  </cols>
  <sheetData>
    <row r="1" spans="1:4" ht="68.25" customHeight="1" x14ac:dyDescent="0.2"/>
    <row r="2" spans="1:4" ht="49.5" customHeight="1" x14ac:dyDescent="0.2">
      <c r="A2" s="37" t="s">
        <v>6</v>
      </c>
      <c r="B2" s="37"/>
      <c r="C2" s="37"/>
      <c r="D2" s="37"/>
    </row>
    <row r="3" spans="1:4" ht="49.5" customHeight="1" x14ac:dyDescent="0.2">
      <c r="A3" s="5"/>
      <c r="B3" s="5"/>
      <c r="C3" s="5"/>
    </row>
    <row r="4" spans="1:4" ht="42.75" customHeight="1" x14ac:dyDescent="0.2">
      <c r="A4" s="2"/>
      <c r="B4" s="2"/>
      <c r="C4" s="2"/>
    </row>
    <row r="5" spans="1:4" ht="49.5" customHeight="1" x14ac:dyDescent="0.2">
      <c r="A5" s="35" t="s">
        <v>218</v>
      </c>
      <c r="B5" s="36"/>
      <c r="C5" s="36"/>
      <c r="D5" s="36"/>
    </row>
    <row r="6" spans="1:4" s="11" customFormat="1" ht="39.75" customHeight="1" x14ac:dyDescent="0.4">
      <c r="A6" s="10" t="s">
        <v>8</v>
      </c>
      <c r="B6" s="10" t="s">
        <v>7</v>
      </c>
      <c r="C6" s="10" t="s">
        <v>110</v>
      </c>
      <c r="D6" s="10" t="s">
        <v>111</v>
      </c>
    </row>
    <row r="7" spans="1:4" ht="58.5" customHeight="1" x14ac:dyDescent="0.4">
      <c r="A7" s="23">
        <v>16086</v>
      </c>
      <c r="B7" s="24" t="s">
        <v>10</v>
      </c>
      <c r="C7" s="25">
        <v>69</v>
      </c>
      <c r="D7" s="25">
        <f>C7*1.3</f>
        <v>89.7</v>
      </c>
    </row>
    <row r="8" spans="1:4" ht="59.25" customHeight="1" x14ac:dyDescent="0.4">
      <c r="A8" s="23">
        <v>16088</v>
      </c>
      <c r="B8" s="24" t="s">
        <v>19</v>
      </c>
      <c r="C8" s="25">
        <v>54.915246000000003</v>
      </c>
      <c r="D8" s="25">
        <f t="shared" ref="D8:D43" si="0">C8*1.3</f>
        <v>71.389819800000012</v>
      </c>
    </row>
    <row r="9" spans="1:4" ht="59.25" customHeight="1" x14ac:dyDescent="0.4">
      <c r="A9" s="23">
        <v>16183</v>
      </c>
      <c r="B9" s="24" t="s">
        <v>18</v>
      </c>
      <c r="C9" s="25">
        <v>99.661002000000011</v>
      </c>
      <c r="D9" s="25">
        <f t="shared" si="0"/>
        <v>129.55930260000002</v>
      </c>
    </row>
    <row r="10" spans="1:4" ht="58.5" customHeight="1" x14ac:dyDescent="0.4">
      <c r="A10" s="23">
        <v>16200</v>
      </c>
      <c r="B10" s="24" t="s">
        <v>72</v>
      </c>
      <c r="C10" s="25">
        <v>85</v>
      </c>
      <c r="D10" s="25">
        <f t="shared" si="0"/>
        <v>110.5</v>
      </c>
    </row>
    <row r="11" spans="1:4" ht="59.25" customHeight="1" x14ac:dyDescent="0.4">
      <c r="A11" s="23">
        <v>16533</v>
      </c>
      <c r="B11" s="24" t="s">
        <v>85</v>
      </c>
      <c r="C11" s="25">
        <v>109</v>
      </c>
      <c r="D11" s="25">
        <f t="shared" si="0"/>
        <v>141.70000000000002</v>
      </c>
    </row>
    <row r="12" spans="1:4" ht="59.25" customHeight="1" x14ac:dyDescent="0.4">
      <c r="A12" s="23">
        <v>16553</v>
      </c>
      <c r="B12" s="24" t="s">
        <v>20</v>
      </c>
      <c r="C12" s="25">
        <v>79</v>
      </c>
      <c r="D12" s="25">
        <f t="shared" si="0"/>
        <v>102.7</v>
      </c>
    </row>
    <row r="13" spans="1:4" ht="59.25" customHeight="1" x14ac:dyDescent="0.4">
      <c r="A13" s="23">
        <v>16559</v>
      </c>
      <c r="B13" s="24" t="s">
        <v>17</v>
      </c>
      <c r="C13" s="25">
        <v>152.54235000000003</v>
      </c>
      <c r="D13" s="25">
        <f t="shared" si="0"/>
        <v>198.30505500000004</v>
      </c>
    </row>
    <row r="14" spans="1:4" ht="59.25" customHeight="1" x14ac:dyDescent="0.4">
      <c r="A14" s="23">
        <v>16726</v>
      </c>
      <c r="B14" s="24" t="s">
        <v>14</v>
      </c>
      <c r="C14" s="25">
        <v>82</v>
      </c>
      <c r="D14" s="25">
        <f t="shared" si="0"/>
        <v>106.60000000000001</v>
      </c>
    </row>
    <row r="15" spans="1:4" ht="59.25" customHeight="1" x14ac:dyDescent="0.4">
      <c r="A15" s="23">
        <v>16728</v>
      </c>
      <c r="B15" s="24" t="s">
        <v>86</v>
      </c>
      <c r="C15" s="25">
        <v>99</v>
      </c>
      <c r="D15" s="25">
        <f t="shared" si="0"/>
        <v>128.70000000000002</v>
      </c>
    </row>
    <row r="16" spans="1:4" ht="59.25" customHeight="1" x14ac:dyDescent="0.4">
      <c r="A16" s="23">
        <v>16730</v>
      </c>
      <c r="B16" s="24" t="s">
        <v>11</v>
      </c>
      <c r="C16" s="25">
        <v>85</v>
      </c>
      <c r="D16" s="25">
        <f t="shared" si="0"/>
        <v>110.5</v>
      </c>
    </row>
    <row r="17" spans="1:4" ht="59.25" customHeight="1" x14ac:dyDescent="0.4">
      <c r="A17" s="23">
        <v>16732</v>
      </c>
      <c r="B17" s="24" t="s">
        <v>87</v>
      </c>
      <c r="C17" s="25">
        <v>105</v>
      </c>
      <c r="D17" s="25">
        <f t="shared" si="0"/>
        <v>136.5</v>
      </c>
    </row>
    <row r="18" spans="1:4" ht="59.25" customHeight="1" x14ac:dyDescent="0.4">
      <c r="A18" s="23">
        <v>17176</v>
      </c>
      <c r="B18" s="24" t="s">
        <v>16</v>
      </c>
      <c r="C18" s="25">
        <v>107.79659400000001</v>
      </c>
      <c r="D18" s="25">
        <f t="shared" si="0"/>
        <v>140.13557220000001</v>
      </c>
    </row>
    <row r="19" spans="1:4" ht="59.25" customHeight="1" x14ac:dyDescent="0.4">
      <c r="A19" s="23">
        <v>17177</v>
      </c>
      <c r="B19" s="24" t="s">
        <v>15</v>
      </c>
      <c r="C19" s="25">
        <v>139</v>
      </c>
      <c r="D19" s="25">
        <f t="shared" si="0"/>
        <v>180.70000000000002</v>
      </c>
    </row>
    <row r="20" spans="1:4" ht="58.5" customHeight="1" x14ac:dyDescent="0.4">
      <c r="A20" s="23">
        <v>17300</v>
      </c>
      <c r="B20" s="24" t="s">
        <v>12</v>
      </c>
      <c r="C20" s="25">
        <v>84</v>
      </c>
      <c r="D20" s="25">
        <f t="shared" si="0"/>
        <v>109.2</v>
      </c>
    </row>
    <row r="21" spans="1:4" ht="58.5" customHeight="1" x14ac:dyDescent="0.4">
      <c r="A21" s="23">
        <v>17302</v>
      </c>
      <c r="B21" s="24" t="s">
        <v>71</v>
      </c>
      <c r="C21" s="25">
        <v>51</v>
      </c>
      <c r="D21" s="25">
        <f t="shared" si="0"/>
        <v>66.3</v>
      </c>
    </row>
    <row r="22" spans="1:4" ht="58.5" customHeight="1" x14ac:dyDescent="0.4">
      <c r="A22" s="23">
        <v>17374</v>
      </c>
      <c r="B22" s="24" t="s">
        <v>160</v>
      </c>
      <c r="C22" s="25">
        <v>228</v>
      </c>
      <c r="D22" s="25">
        <f t="shared" si="0"/>
        <v>296.40000000000003</v>
      </c>
    </row>
    <row r="23" spans="1:4" ht="59.25" customHeight="1" x14ac:dyDescent="0.4">
      <c r="A23" s="23">
        <v>17526</v>
      </c>
      <c r="B23" s="24" t="s">
        <v>23</v>
      </c>
      <c r="C23" s="25">
        <v>64</v>
      </c>
      <c r="D23" s="25">
        <f t="shared" si="0"/>
        <v>83.2</v>
      </c>
    </row>
    <row r="24" spans="1:4" ht="59.25" customHeight="1" x14ac:dyDescent="0.4">
      <c r="A24" s="23">
        <v>17533</v>
      </c>
      <c r="B24" s="24" t="s">
        <v>21</v>
      </c>
      <c r="C24" s="25">
        <v>160</v>
      </c>
      <c r="D24" s="25">
        <f t="shared" si="0"/>
        <v>208</v>
      </c>
    </row>
    <row r="25" spans="1:4" ht="59.25" customHeight="1" x14ac:dyDescent="0.4">
      <c r="A25" s="23">
        <v>17537</v>
      </c>
      <c r="B25" s="24" t="s">
        <v>88</v>
      </c>
      <c r="C25" s="25">
        <v>134</v>
      </c>
      <c r="D25" s="25">
        <f t="shared" si="0"/>
        <v>174.20000000000002</v>
      </c>
    </row>
    <row r="26" spans="1:4" ht="59.25" customHeight="1" x14ac:dyDescent="0.4">
      <c r="A26" s="23">
        <v>17611</v>
      </c>
      <c r="B26" s="24" t="s">
        <v>13</v>
      </c>
      <c r="C26" s="25">
        <v>133.22031900000002</v>
      </c>
      <c r="D26" s="25">
        <f t="shared" si="0"/>
        <v>173.18641470000003</v>
      </c>
    </row>
    <row r="27" spans="1:4" ht="59.25" customHeight="1" x14ac:dyDescent="0.4">
      <c r="A27" s="23">
        <v>18102</v>
      </c>
      <c r="B27" s="24" t="s">
        <v>22</v>
      </c>
      <c r="C27" s="25">
        <v>126.10167600000001</v>
      </c>
      <c r="D27" s="25">
        <f t="shared" si="0"/>
        <v>163.93217880000003</v>
      </c>
    </row>
    <row r="28" spans="1:4" ht="59.25" customHeight="1" x14ac:dyDescent="0.4">
      <c r="A28" s="23">
        <v>18396</v>
      </c>
      <c r="B28" s="24" t="s">
        <v>89</v>
      </c>
      <c r="C28" s="25">
        <v>229</v>
      </c>
      <c r="D28" s="25">
        <f t="shared" si="0"/>
        <v>297.7</v>
      </c>
    </row>
    <row r="29" spans="1:4" ht="59.25" customHeight="1" x14ac:dyDescent="0.4">
      <c r="A29" s="23">
        <v>18525</v>
      </c>
      <c r="B29" s="24" t="s">
        <v>201</v>
      </c>
      <c r="C29" s="25">
        <v>134</v>
      </c>
      <c r="D29" s="25">
        <f t="shared" si="0"/>
        <v>174.20000000000002</v>
      </c>
    </row>
    <row r="30" spans="1:4" ht="59.25" customHeight="1" x14ac:dyDescent="0.4">
      <c r="A30" s="23">
        <v>18611</v>
      </c>
      <c r="B30" s="24" t="s">
        <v>202</v>
      </c>
      <c r="C30" s="25">
        <v>119.99998200000002</v>
      </c>
      <c r="D30" s="25">
        <f t="shared" si="0"/>
        <v>155.99997660000002</v>
      </c>
    </row>
    <row r="31" spans="1:4" ht="59.25" customHeight="1" x14ac:dyDescent="0.4">
      <c r="A31" s="23">
        <v>18612</v>
      </c>
      <c r="B31" s="24" t="s">
        <v>203</v>
      </c>
      <c r="C31" s="25">
        <v>155</v>
      </c>
      <c r="D31" s="25">
        <f t="shared" si="0"/>
        <v>201.5</v>
      </c>
    </row>
    <row r="32" spans="1:4" ht="59.25" customHeight="1" x14ac:dyDescent="0.4">
      <c r="A32" s="23">
        <v>18614</v>
      </c>
      <c r="B32" s="24" t="s">
        <v>268</v>
      </c>
      <c r="C32" s="25">
        <v>134.9</v>
      </c>
      <c r="D32" s="25">
        <f t="shared" ref="D32" si="1">C32*1.3</f>
        <v>175.37</v>
      </c>
    </row>
    <row r="33" spans="1:4" ht="59.25" customHeight="1" x14ac:dyDescent="0.4">
      <c r="A33" s="23">
        <v>18911</v>
      </c>
      <c r="B33" s="24" t="s">
        <v>24</v>
      </c>
      <c r="C33" s="25">
        <v>182</v>
      </c>
      <c r="D33" s="25">
        <f t="shared" si="0"/>
        <v>236.6</v>
      </c>
    </row>
    <row r="34" spans="1:4" ht="59.25" customHeight="1" x14ac:dyDescent="0.4">
      <c r="A34" s="23">
        <v>18912</v>
      </c>
      <c r="B34" s="24" t="s">
        <v>25</v>
      </c>
      <c r="C34" s="25">
        <v>192.20336100000003</v>
      </c>
      <c r="D34" s="25">
        <f t="shared" si="0"/>
        <v>249.86436930000005</v>
      </c>
    </row>
    <row r="35" spans="1:4" ht="59.25" customHeight="1" x14ac:dyDescent="0.4">
      <c r="A35" s="23">
        <v>19055</v>
      </c>
      <c r="B35" s="24" t="s">
        <v>109</v>
      </c>
      <c r="C35" s="25">
        <v>111.86439000000001</v>
      </c>
      <c r="D35" s="25">
        <f t="shared" si="0"/>
        <v>145.42370700000004</v>
      </c>
    </row>
    <row r="36" spans="1:4" ht="59.25" customHeight="1" x14ac:dyDescent="0.4">
      <c r="A36" s="23">
        <v>19485</v>
      </c>
      <c r="B36" s="24" t="s">
        <v>267</v>
      </c>
      <c r="C36" s="25">
        <v>255</v>
      </c>
      <c r="D36" s="25">
        <f t="shared" ref="D36" si="2">C36*1.3</f>
        <v>331.5</v>
      </c>
    </row>
    <row r="37" spans="1:4" ht="59.25" customHeight="1" x14ac:dyDescent="0.4">
      <c r="A37" s="23">
        <v>19794</v>
      </c>
      <c r="B37" s="24" t="s">
        <v>172</v>
      </c>
      <c r="C37" s="25">
        <v>198</v>
      </c>
      <c r="D37" s="25">
        <f t="shared" si="0"/>
        <v>257.40000000000003</v>
      </c>
    </row>
    <row r="38" spans="1:4" ht="59.25" customHeight="1" x14ac:dyDescent="0.4">
      <c r="A38" s="23">
        <v>19802</v>
      </c>
      <c r="B38" s="24" t="s">
        <v>162</v>
      </c>
      <c r="C38" s="25">
        <v>88</v>
      </c>
      <c r="D38" s="25">
        <f t="shared" si="0"/>
        <v>114.4</v>
      </c>
    </row>
    <row r="39" spans="1:4" ht="59.25" customHeight="1" x14ac:dyDescent="0.4">
      <c r="A39" s="23">
        <v>19803</v>
      </c>
      <c r="B39" s="24" t="s">
        <v>163</v>
      </c>
      <c r="C39" s="25">
        <v>118</v>
      </c>
      <c r="D39" s="25">
        <f t="shared" si="0"/>
        <v>153.4</v>
      </c>
    </row>
    <row r="40" spans="1:4" ht="59.25" customHeight="1" x14ac:dyDescent="0.4">
      <c r="A40" s="23">
        <v>19818</v>
      </c>
      <c r="B40" s="24" t="s">
        <v>161</v>
      </c>
      <c r="C40" s="25">
        <v>147</v>
      </c>
      <c r="D40" s="25">
        <f t="shared" si="0"/>
        <v>191.1</v>
      </c>
    </row>
    <row r="41" spans="1:4" ht="59.25" customHeight="1" x14ac:dyDescent="0.4">
      <c r="A41" s="23">
        <v>19949</v>
      </c>
      <c r="B41" s="24" t="s">
        <v>219</v>
      </c>
      <c r="C41" s="25">
        <v>302</v>
      </c>
      <c r="D41" s="25">
        <f t="shared" si="0"/>
        <v>392.6</v>
      </c>
    </row>
    <row r="42" spans="1:4" ht="59.25" customHeight="1" x14ac:dyDescent="0.4">
      <c r="A42" s="23">
        <v>20069</v>
      </c>
      <c r="B42" s="24" t="s">
        <v>269</v>
      </c>
      <c r="C42" s="25">
        <v>165</v>
      </c>
      <c r="D42" s="25">
        <f t="shared" ref="D42" si="3">C42*1.3</f>
        <v>214.5</v>
      </c>
    </row>
    <row r="43" spans="1:4" ht="59.25" customHeight="1" x14ac:dyDescent="0.4">
      <c r="A43" s="23">
        <v>20083</v>
      </c>
      <c r="B43" s="24" t="s">
        <v>256</v>
      </c>
      <c r="C43" s="25">
        <v>106</v>
      </c>
      <c r="D43" s="25">
        <f t="shared" si="0"/>
        <v>137.80000000000001</v>
      </c>
    </row>
    <row r="44" spans="1:4" ht="75.75" customHeight="1" x14ac:dyDescent="0.2"/>
    <row r="45" spans="1:4" ht="42" customHeight="1" x14ac:dyDescent="0.2">
      <c r="A45" s="35" t="s">
        <v>0</v>
      </c>
      <c r="B45" s="36"/>
      <c r="C45" s="36"/>
      <c r="D45" s="36"/>
    </row>
    <row r="46" spans="1:4" s="11" customFormat="1" ht="39.75" customHeight="1" x14ac:dyDescent="0.4">
      <c r="A46" s="10" t="s">
        <v>8</v>
      </c>
      <c r="B46" s="10" t="s">
        <v>7</v>
      </c>
      <c r="C46" s="10" t="s">
        <v>110</v>
      </c>
      <c r="D46" s="10" t="s">
        <v>111</v>
      </c>
    </row>
    <row r="47" spans="1:4" ht="58.5" customHeight="1" x14ac:dyDescent="0.4">
      <c r="A47" s="23">
        <v>11112</v>
      </c>
      <c r="B47" s="26" t="s">
        <v>127</v>
      </c>
      <c r="C47" s="25">
        <v>182</v>
      </c>
      <c r="D47" s="25">
        <f>C47*1.3</f>
        <v>236.6</v>
      </c>
    </row>
    <row r="48" spans="1:4" ht="58.5" customHeight="1" x14ac:dyDescent="0.4">
      <c r="A48" s="23">
        <v>14763</v>
      </c>
      <c r="B48" s="26" t="s">
        <v>115</v>
      </c>
      <c r="C48" s="25">
        <v>83.5</v>
      </c>
      <c r="D48" s="25">
        <f t="shared" ref="D48:D83" si="4">C48*1.3</f>
        <v>108.55</v>
      </c>
    </row>
    <row r="49" spans="1:4" ht="58.5" customHeight="1" x14ac:dyDescent="0.4">
      <c r="A49" s="23">
        <v>14835</v>
      </c>
      <c r="B49" s="26" t="s">
        <v>90</v>
      </c>
      <c r="C49" s="25">
        <v>189</v>
      </c>
      <c r="D49" s="25">
        <f t="shared" si="4"/>
        <v>245.70000000000002</v>
      </c>
    </row>
    <row r="50" spans="1:4" ht="59.25" customHeight="1" x14ac:dyDescent="0.4">
      <c r="A50" s="23">
        <v>16090</v>
      </c>
      <c r="B50" s="26" t="s">
        <v>27</v>
      </c>
      <c r="C50" s="25">
        <v>53.898297000000007</v>
      </c>
      <c r="D50" s="25">
        <f t="shared" si="4"/>
        <v>70.067786100000006</v>
      </c>
    </row>
    <row r="51" spans="1:4" ht="59.25" customHeight="1" x14ac:dyDescent="0.4">
      <c r="A51" s="23">
        <v>16181</v>
      </c>
      <c r="B51" s="26" t="s">
        <v>144</v>
      </c>
      <c r="C51" s="25">
        <v>134.237268</v>
      </c>
      <c r="D51" s="25">
        <f t="shared" si="4"/>
        <v>174.50844840000002</v>
      </c>
    </row>
    <row r="52" spans="1:4" ht="59.25" customHeight="1" x14ac:dyDescent="0.4">
      <c r="A52" s="23">
        <v>16720</v>
      </c>
      <c r="B52" s="26" t="s">
        <v>91</v>
      </c>
      <c r="C52" s="25">
        <v>96.610155000000006</v>
      </c>
      <c r="D52" s="25">
        <f t="shared" si="4"/>
        <v>125.59320150000001</v>
      </c>
    </row>
    <row r="53" spans="1:4" ht="59.25" customHeight="1" x14ac:dyDescent="0.4">
      <c r="A53" s="23">
        <v>17115</v>
      </c>
      <c r="B53" s="26" t="s">
        <v>26</v>
      </c>
      <c r="C53" s="25">
        <v>137</v>
      </c>
      <c r="D53" s="25">
        <f t="shared" si="4"/>
        <v>178.1</v>
      </c>
    </row>
    <row r="54" spans="1:4" ht="59.25" customHeight="1" x14ac:dyDescent="0.4">
      <c r="A54" s="23">
        <v>17181</v>
      </c>
      <c r="B54" s="26" t="s">
        <v>92</v>
      </c>
      <c r="C54" s="25">
        <v>122.03388000000001</v>
      </c>
      <c r="D54" s="25">
        <f t="shared" si="4"/>
        <v>158.64404400000001</v>
      </c>
    </row>
    <row r="55" spans="1:4" ht="59.25" customHeight="1" x14ac:dyDescent="0.4">
      <c r="A55" s="23">
        <v>18116</v>
      </c>
      <c r="B55" s="26" t="s">
        <v>93</v>
      </c>
      <c r="C55" s="25">
        <v>140.33896200000001</v>
      </c>
      <c r="D55" s="25">
        <f t="shared" si="4"/>
        <v>182.44065060000003</v>
      </c>
    </row>
    <row r="56" spans="1:4" ht="59.25" customHeight="1" x14ac:dyDescent="0.4">
      <c r="A56" s="23">
        <v>18137</v>
      </c>
      <c r="B56" s="26" t="s">
        <v>94</v>
      </c>
      <c r="C56" s="25">
        <v>139</v>
      </c>
      <c r="D56" s="25">
        <f t="shared" si="4"/>
        <v>180.70000000000002</v>
      </c>
    </row>
    <row r="57" spans="1:4" ht="59.25" customHeight="1" x14ac:dyDescent="0.4">
      <c r="A57" s="23">
        <v>18182</v>
      </c>
      <c r="B57" s="26" t="s">
        <v>95</v>
      </c>
      <c r="C57" s="25">
        <v>194</v>
      </c>
      <c r="D57" s="25">
        <f t="shared" si="4"/>
        <v>252.20000000000002</v>
      </c>
    </row>
    <row r="58" spans="1:4" ht="59.25" customHeight="1" x14ac:dyDescent="0.4">
      <c r="A58" s="23">
        <v>18409</v>
      </c>
      <c r="B58" s="26" t="s">
        <v>265</v>
      </c>
      <c r="C58" s="25">
        <v>210</v>
      </c>
      <c r="D58" s="25">
        <f t="shared" ref="D58" si="5">C58*1.3</f>
        <v>273</v>
      </c>
    </row>
    <row r="59" spans="1:4" ht="59.25" customHeight="1" x14ac:dyDescent="0.4">
      <c r="A59" s="23">
        <v>18913</v>
      </c>
      <c r="B59" s="26" t="s">
        <v>113</v>
      </c>
      <c r="C59" s="25">
        <v>25.31</v>
      </c>
      <c r="D59" s="25">
        <f t="shared" si="4"/>
        <v>32.902999999999999</v>
      </c>
    </row>
    <row r="60" spans="1:4" ht="59.25" customHeight="1" x14ac:dyDescent="0.4">
      <c r="A60" s="23">
        <v>18943</v>
      </c>
      <c r="B60" s="26" t="s">
        <v>156</v>
      </c>
      <c r="C60" s="25">
        <v>184.06776900000003</v>
      </c>
      <c r="D60" s="25">
        <f t="shared" si="4"/>
        <v>239.28809970000003</v>
      </c>
    </row>
    <row r="61" spans="1:4" ht="59.25" customHeight="1" x14ac:dyDescent="0.4">
      <c r="A61" s="23">
        <v>18955</v>
      </c>
      <c r="B61" s="26" t="s">
        <v>129</v>
      </c>
      <c r="C61" s="25">
        <v>123.05082900000001</v>
      </c>
      <c r="D61" s="25">
        <f t="shared" si="4"/>
        <v>159.96607770000003</v>
      </c>
    </row>
    <row r="62" spans="1:4" ht="59.25" customHeight="1" x14ac:dyDescent="0.4">
      <c r="A62" s="23">
        <v>18965</v>
      </c>
      <c r="B62" s="26" t="s">
        <v>240</v>
      </c>
      <c r="C62" s="25">
        <v>141.36000000000001</v>
      </c>
      <c r="D62" s="25">
        <f t="shared" si="4"/>
        <v>183.76800000000003</v>
      </c>
    </row>
    <row r="63" spans="1:4" ht="59.25" customHeight="1" x14ac:dyDescent="0.4">
      <c r="A63" s="23">
        <v>19015</v>
      </c>
      <c r="B63" s="24" t="s">
        <v>185</v>
      </c>
      <c r="C63" s="25">
        <v>324</v>
      </c>
      <c r="D63" s="25">
        <f t="shared" si="4"/>
        <v>421.2</v>
      </c>
    </row>
    <row r="64" spans="1:4" ht="59.25" customHeight="1" x14ac:dyDescent="0.4">
      <c r="A64" s="23">
        <v>19125</v>
      </c>
      <c r="B64" s="26" t="s">
        <v>124</v>
      </c>
      <c r="C64" s="25">
        <v>242</v>
      </c>
      <c r="D64" s="25">
        <f t="shared" si="4"/>
        <v>314.60000000000002</v>
      </c>
    </row>
    <row r="65" spans="1:4" ht="59.25" customHeight="1" x14ac:dyDescent="0.4">
      <c r="A65" s="23">
        <v>19264</v>
      </c>
      <c r="B65" s="26" t="s">
        <v>128</v>
      </c>
      <c r="C65" s="25">
        <v>151.52540100000002</v>
      </c>
      <c r="D65" s="25">
        <f t="shared" si="4"/>
        <v>196.98302130000002</v>
      </c>
    </row>
    <row r="66" spans="1:4" ht="59.25" customHeight="1" x14ac:dyDescent="0.4">
      <c r="A66" s="23">
        <v>19307</v>
      </c>
      <c r="B66" s="26" t="s">
        <v>96</v>
      </c>
      <c r="C66" s="25">
        <v>258</v>
      </c>
      <c r="D66" s="25">
        <f t="shared" si="4"/>
        <v>335.40000000000003</v>
      </c>
    </row>
    <row r="67" spans="1:4" ht="59.25" customHeight="1" x14ac:dyDescent="0.4">
      <c r="A67" s="23">
        <v>19486</v>
      </c>
      <c r="B67" s="26" t="s">
        <v>130</v>
      </c>
      <c r="C67" s="25">
        <v>136.27116600000002</v>
      </c>
      <c r="D67" s="25">
        <f t="shared" si="4"/>
        <v>177.15251580000003</v>
      </c>
    </row>
    <row r="68" spans="1:4" ht="59.25" customHeight="1" x14ac:dyDescent="0.4">
      <c r="A68" s="23">
        <v>19574</v>
      </c>
      <c r="B68" s="26" t="s">
        <v>145</v>
      </c>
      <c r="C68" s="25">
        <v>164.74573800000002</v>
      </c>
      <c r="D68" s="25">
        <f t="shared" si="4"/>
        <v>214.16945940000002</v>
      </c>
    </row>
    <row r="69" spans="1:4" ht="59.25" customHeight="1" x14ac:dyDescent="0.4">
      <c r="A69" s="23">
        <v>19576</v>
      </c>
      <c r="B69" s="26" t="s">
        <v>220</v>
      </c>
      <c r="C69" s="25">
        <v>170</v>
      </c>
      <c r="D69" s="25">
        <f t="shared" si="4"/>
        <v>221</v>
      </c>
    </row>
    <row r="70" spans="1:4" ht="59.25" customHeight="1" x14ac:dyDescent="0.4">
      <c r="A70" s="23">
        <v>19592</v>
      </c>
      <c r="B70" s="26" t="s">
        <v>183</v>
      </c>
      <c r="C70" s="25">
        <v>140</v>
      </c>
      <c r="D70" s="25">
        <f t="shared" si="4"/>
        <v>182</v>
      </c>
    </row>
    <row r="71" spans="1:4" ht="59.25" customHeight="1" x14ac:dyDescent="0.4">
      <c r="A71" s="23">
        <v>19593</v>
      </c>
      <c r="B71" s="26" t="s">
        <v>205</v>
      </c>
      <c r="C71" s="25">
        <v>173</v>
      </c>
      <c r="D71" s="25">
        <f t="shared" si="4"/>
        <v>224.9</v>
      </c>
    </row>
    <row r="72" spans="1:4" ht="59.25" customHeight="1" x14ac:dyDescent="0.4">
      <c r="A72" s="23">
        <v>19600</v>
      </c>
      <c r="B72" s="26" t="s">
        <v>261</v>
      </c>
      <c r="C72" s="25">
        <v>238</v>
      </c>
      <c r="D72" s="25">
        <f t="shared" si="4"/>
        <v>309.40000000000003</v>
      </c>
    </row>
    <row r="73" spans="1:4" ht="59.25" customHeight="1" x14ac:dyDescent="0.4">
      <c r="A73" s="23">
        <v>19673</v>
      </c>
      <c r="B73" s="26" t="s">
        <v>184</v>
      </c>
      <c r="C73" s="25">
        <v>271</v>
      </c>
      <c r="D73" s="25">
        <f t="shared" si="4"/>
        <v>352.3</v>
      </c>
    </row>
    <row r="74" spans="1:4" ht="59.25" customHeight="1" x14ac:dyDescent="0.4">
      <c r="A74" s="23">
        <v>19804</v>
      </c>
      <c r="B74" s="26" t="s">
        <v>262</v>
      </c>
      <c r="C74" s="25">
        <v>85</v>
      </c>
      <c r="D74" s="25">
        <f t="shared" si="4"/>
        <v>110.5</v>
      </c>
    </row>
    <row r="75" spans="1:4" ht="59.25" customHeight="1" x14ac:dyDescent="0.4">
      <c r="A75" s="23">
        <v>19805</v>
      </c>
      <c r="B75" s="26" t="s">
        <v>257</v>
      </c>
      <c r="C75" s="25">
        <v>106</v>
      </c>
      <c r="D75" s="25">
        <f t="shared" si="4"/>
        <v>137.80000000000001</v>
      </c>
    </row>
    <row r="76" spans="1:4" ht="59.25" customHeight="1" x14ac:dyDescent="0.4">
      <c r="A76" s="23">
        <v>19814</v>
      </c>
      <c r="B76" s="26" t="s">
        <v>169</v>
      </c>
      <c r="C76" s="25">
        <v>194</v>
      </c>
      <c r="D76" s="25">
        <f t="shared" si="4"/>
        <v>252.20000000000002</v>
      </c>
    </row>
    <row r="77" spans="1:4" ht="59.25" customHeight="1" x14ac:dyDescent="0.4">
      <c r="A77" s="31">
        <v>19824</v>
      </c>
      <c r="B77" s="32" t="s">
        <v>274</v>
      </c>
      <c r="C77" s="33">
        <v>279</v>
      </c>
      <c r="D77" s="33">
        <f t="shared" si="4"/>
        <v>362.7</v>
      </c>
    </row>
    <row r="78" spans="1:4" ht="59.25" customHeight="1" x14ac:dyDescent="0.4">
      <c r="A78" s="23">
        <v>19923</v>
      </c>
      <c r="B78" s="26" t="s">
        <v>266</v>
      </c>
      <c r="C78" s="25">
        <v>140</v>
      </c>
      <c r="D78" s="25">
        <f t="shared" ref="D78" si="6">C78*1.3</f>
        <v>182</v>
      </c>
    </row>
    <row r="79" spans="1:4" ht="59.25" customHeight="1" x14ac:dyDescent="0.4">
      <c r="A79" s="23">
        <v>19953</v>
      </c>
      <c r="B79" s="26" t="s">
        <v>206</v>
      </c>
      <c r="C79" s="25">
        <v>175</v>
      </c>
      <c r="D79" s="25">
        <f t="shared" si="4"/>
        <v>227.5</v>
      </c>
    </row>
    <row r="80" spans="1:4" ht="59.25" customHeight="1" x14ac:dyDescent="0.4">
      <c r="A80" s="23">
        <v>20026</v>
      </c>
      <c r="B80" s="26" t="s">
        <v>263</v>
      </c>
      <c r="C80" s="25">
        <v>305</v>
      </c>
      <c r="D80" s="25">
        <f t="shared" si="4"/>
        <v>396.5</v>
      </c>
    </row>
    <row r="81" spans="1:4" ht="59.25" customHeight="1" x14ac:dyDescent="0.4">
      <c r="A81" s="23">
        <v>20028</v>
      </c>
      <c r="B81" s="26" t="s">
        <v>258</v>
      </c>
      <c r="C81" s="25">
        <v>215</v>
      </c>
      <c r="D81" s="25">
        <f t="shared" si="4"/>
        <v>279.5</v>
      </c>
    </row>
    <row r="82" spans="1:4" ht="59.25" customHeight="1" x14ac:dyDescent="0.4">
      <c r="A82" s="23">
        <v>20064</v>
      </c>
      <c r="B82" s="26" t="s">
        <v>259</v>
      </c>
      <c r="C82" s="25">
        <v>116</v>
      </c>
      <c r="D82" s="25">
        <f t="shared" si="4"/>
        <v>150.80000000000001</v>
      </c>
    </row>
    <row r="83" spans="1:4" ht="59.25" customHeight="1" x14ac:dyDescent="0.4">
      <c r="A83" s="23">
        <v>20084</v>
      </c>
      <c r="B83" s="26" t="s">
        <v>260</v>
      </c>
      <c r="C83" s="25">
        <v>104</v>
      </c>
      <c r="D83" s="25">
        <f t="shared" si="4"/>
        <v>135.20000000000002</v>
      </c>
    </row>
    <row r="84" spans="1:4" ht="59.25" customHeight="1" x14ac:dyDescent="0.4">
      <c r="A84" s="31">
        <v>20130</v>
      </c>
      <c r="B84" s="32" t="s">
        <v>273</v>
      </c>
      <c r="C84" s="33">
        <v>99</v>
      </c>
      <c r="D84" s="33">
        <f t="shared" ref="D84:D85" si="7">C84*1.3</f>
        <v>128.70000000000002</v>
      </c>
    </row>
    <row r="85" spans="1:4" ht="59.25" customHeight="1" x14ac:dyDescent="0.4">
      <c r="A85" s="31">
        <v>20131</v>
      </c>
      <c r="B85" s="32" t="s">
        <v>272</v>
      </c>
      <c r="C85" s="33">
        <v>99</v>
      </c>
      <c r="D85" s="33">
        <f t="shared" si="7"/>
        <v>128.70000000000002</v>
      </c>
    </row>
    <row r="86" spans="1:4" ht="75.75" customHeight="1" x14ac:dyDescent="0.2"/>
    <row r="87" spans="1:4" ht="42" customHeight="1" x14ac:dyDescent="0.2">
      <c r="A87" s="35" t="s">
        <v>4</v>
      </c>
      <c r="B87" s="36"/>
      <c r="C87" s="36"/>
      <c r="D87" s="36"/>
    </row>
    <row r="88" spans="1:4" s="11" customFormat="1" ht="39.75" customHeight="1" x14ac:dyDescent="0.4">
      <c r="A88" s="10" t="s">
        <v>8</v>
      </c>
      <c r="B88" s="10" t="s">
        <v>7</v>
      </c>
      <c r="C88" s="10" t="s">
        <v>110</v>
      </c>
      <c r="D88" s="10" t="s">
        <v>111</v>
      </c>
    </row>
    <row r="89" spans="1:4" s="6" customFormat="1" ht="48.75" customHeight="1" x14ac:dyDescent="0.4">
      <c r="A89" s="23">
        <v>15361</v>
      </c>
      <c r="B89" s="27" t="s">
        <v>32</v>
      </c>
      <c r="C89" s="25">
        <v>209</v>
      </c>
      <c r="D89" s="25">
        <f>C89*1.3</f>
        <v>271.7</v>
      </c>
    </row>
    <row r="90" spans="1:4" s="6" customFormat="1" ht="48.75" customHeight="1" x14ac:dyDescent="0.4">
      <c r="A90" s="23">
        <v>15433</v>
      </c>
      <c r="B90" s="27" t="s">
        <v>28</v>
      </c>
      <c r="C90" s="25">
        <v>121.01693100000001</v>
      </c>
      <c r="D90" s="25">
        <f t="shared" ref="D90:D144" si="8">C90*1.3</f>
        <v>157.32201030000002</v>
      </c>
    </row>
    <row r="91" spans="1:4" s="6" customFormat="1" ht="48.75" customHeight="1" x14ac:dyDescent="0.4">
      <c r="A91" s="23">
        <v>15908</v>
      </c>
      <c r="B91" s="27" t="s">
        <v>199</v>
      </c>
      <c r="C91" s="25">
        <v>165</v>
      </c>
      <c r="D91" s="25">
        <f t="shared" si="8"/>
        <v>214.5</v>
      </c>
    </row>
    <row r="92" spans="1:4" s="6" customFormat="1" ht="48.75" customHeight="1" x14ac:dyDescent="0.4">
      <c r="A92" s="23">
        <v>15910</v>
      </c>
      <c r="B92" s="28" t="s">
        <v>33</v>
      </c>
      <c r="C92" s="25">
        <v>177.96607500000002</v>
      </c>
      <c r="D92" s="25">
        <f t="shared" si="8"/>
        <v>231.35589750000003</v>
      </c>
    </row>
    <row r="93" spans="1:4" s="6" customFormat="1" ht="48.75" customHeight="1" x14ac:dyDescent="0.4">
      <c r="A93" s="23">
        <v>15912</v>
      </c>
      <c r="B93" s="27" t="s">
        <v>30</v>
      </c>
      <c r="C93" s="25">
        <v>167</v>
      </c>
      <c r="D93" s="25">
        <f t="shared" si="8"/>
        <v>217.1</v>
      </c>
    </row>
    <row r="94" spans="1:4" s="6" customFormat="1" ht="48.75" customHeight="1" x14ac:dyDescent="0.4">
      <c r="A94" s="23">
        <v>16061</v>
      </c>
      <c r="B94" s="27" t="s">
        <v>164</v>
      </c>
      <c r="C94" s="25">
        <v>117</v>
      </c>
      <c r="D94" s="25">
        <f t="shared" si="8"/>
        <v>152.1</v>
      </c>
    </row>
    <row r="95" spans="1:4" s="6" customFormat="1" ht="48.75" customHeight="1" x14ac:dyDescent="0.4">
      <c r="A95" s="23">
        <v>16769</v>
      </c>
      <c r="B95" s="27" t="s">
        <v>153</v>
      </c>
      <c r="C95" s="25">
        <v>162</v>
      </c>
      <c r="D95" s="25">
        <f t="shared" si="8"/>
        <v>210.6</v>
      </c>
    </row>
    <row r="96" spans="1:4" s="6" customFormat="1" ht="48.75" customHeight="1" x14ac:dyDescent="0.4">
      <c r="A96" s="23">
        <v>17244</v>
      </c>
      <c r="B96" s="27" t="s">
        <v>174</v>
      </c>
      <c r="C96" s="25">
        <v>435</v>
      </c>
      <c r="D96" s="25">
        <f t="shared" si="8"/>
        <v>565.5</v>
      </c>
    </row>
    <row r="97" spans="1:4" s="6" customFormat="1" ht="48.75" customHeight="1" x14ac:dyDescent="0.4">
      <c r="A97" s="23">
        <v>17274</v>
      </c>
      <c r="B97" s="27" t="s">
        <v>157</v>
      </c>
      <c r="C97" s="25">
        <v>94</v>
      </c>
      <c r="D97" s="25">
        <f t="shared" si="8"/>
        <v>122.2</v>
      </c>
    </row>
    <row r="98" spans="1:4" s="6" customFormat="1" ht="48.75" customHeight="1" x14ac:dyDescent="0.4">
      <c r="A98" s="23">
        <v>17339</v>
      </c>
      <c r="B98" s="27" t="s">
        <v>192</v>
      </c>
      <c r="C98" s="25">
        <v>354</v>
      </c>
      <c r="D98" s="25">
        <f t="shared" si="8"/>
        <v>460.2</v>
      </c>
    </row>
    <row r="99" spans="1:4" s="6" customFormat="1" ht="48.75" customHeight="1" x14ac:dyDescent="0.4">
      <c r="A99" s="23">
        <v>17831</v>
      </c>
      <c r="B99" s="27" t="s">
        <v>31</v>
      </c>
      <c r="C99" s="25">
        <v>483.05077500000004</v>
      </c>
      <c r="D99" s="25">
        <f t="shared" si="8"/>
        <v>627.96600750000005</v>
      </c>
    </row>
    <row r="100" spans="1:4" s="6" customFormat="1" ht="48.75" customHeight="1" x14ac:dyDescent="0.4">
      <c r="A100" s="23">
        <v>18351</v>
      </c>
      <c r="B100" s="29" t="s">
        <v>241</v>
      </c>
      <c r="C100" s="25">
        <v>378.31</v>
      </c>
      <c r="D100" s="25">
        <f t="shared" si="8"/>
        <v>491.803</v>
      </c>
    </row>
    <row r="101" spans="1:4" s="6" customFormat="1" ht="48.75" customHeight="1" x14ac:dyDescent="0.4">
      <c r="A101" s="23">
        <v>18352</v>
      </c>
      <c r="B101" s="29" t="s">
        <v>212</v>
      </c>
      <c r="C101" s="25">
        <v>345</v>
      </c>
      <c r="D101" s="25">
        <f t="shared" si="8"/>
        <v>448.5</v>
      </c>
    </row>
    <row r="102" spans="1:4" s="11" customFormat="1" ht="48.75" customHeight="1" x14ac:dyDescent="0.4">
      <c r="A102" s="23">
        <v>18482</v>
      </c>
      <c r="B102" s="27" t="s">
        <v>146</v>
      </c>
      <c r="C102" s="25">
        <v>237</v>
      </c>
      <c r="D102" s="25">
        <f t="shared" si="8"/>
        <v>308.10000000000002</v>
      </c>
    </row>
    <row r="103" spans="1:4" s="6" customFormat="1" ht="48.75" customHeight="1" x14ac:dyDescent="0.4">
      <c r="A103" s="23">
        <v>18483</v>
      </c>
      <c r="B103" s="29" t="s">
        <v>133</v>
      </c>
      <c r="C103" s="25">
        <v>232</v>
      </c>
      <c r="D103" s="25">
        <f t="shared" si="8"/>
        <v>301.60000000000002</v>
      </c>
    </row>
    <row r="104" spans="1:4" s="6" customFormat="1" ht="48.75" customHeight="1" x14ac:dyDescent="0.4">
      <c r="A104" s="23">
        <v>18485</v>
      </c>
      <c r="B104" s="29" t="s">
        <v>142</v>
      </c>
      <c r="C104" s="25">
        <v>268.474536</v>
      </c>
      <c r="D104" s="25">
        <f t="shared" si="8"/>
        <v>349.01689680000004</v>
      </c>
    </row>
    <row r="105" spans="1:4" s="6" customFormat="1" ht="48.75" customHeight="1" x14ac:dyDescent="0.4">
      <c r="A105" s="23">
        <v>18486</v>
      </c>
      <c r="B105" s="29" t="s">
        <v>143</v>
      </c>
      <c r="C105" s="25">
        <v>268.474536</v>
      </c>
      <c r="D105" s="25">
        <f t="shared" si="8"/>
        <v>349.01689680000004</v>
      </c>
    </row>
    <row r="106" spans="1:4" s="6" customFormat="1" ht="48.75" customHeight="1" x14ac:dyDescent="0.4">
      <c r="A106" s="23">
        <v>18554</v>
      </c>
      <c r="B106" s="28" t="s">
        <v>76</v>
      </c>
      <c r="C106" s="25">
        <v>103</v>
      </c>
      <c r="D106" s="25">
        <f t="shared" si="8"/>
        <v>133.9</v>
      </c>
    </row>
    <row r="107" spans="1:4" s="6" customFormat="1" ht="48.75" customHeight="1" x14ac:dyDescent="0.4">
      <c r="A107" s="23">
        <v>18556</v>
      </c>
      <c r="B107" s="28" t="s">
        <v>112</v>
      </c>
      <c r="C107" s="25">
        <v>108</v>
      </c>
      <c r="D107" s="25">
        <f t="shared" si="8"/>
        <v>140.4</v>
      </c>
    </row>
    <row r="108" spans="1:4" s="6" customFormat="1" ht="48.75" customHeight="1" x14ac:dyDescent="0.4">
      <c r="A108" s="23">
        <v>18627</v>
      </c>
      <c r="B108" s="29" t="s">
        <v>207</v>
      </c>
      <c r="C108" s="25">
        <v>408</v>
      </c>
      <c r="D108" s="25">
        <f t="shared" si="8"/>
        <v>530.4</v>
      </c>
    </row>
    <row r="109" spans="1:4" s="6" customFormat="1" ht="48.75" customHeight="1" x14ac:dyDescent="0.4">
      <c r="A109" s="23">
        <v>18671</v>
      </c>
      <c r="B109" s="28" t="s">
        <v>155</v>
      </c>
      <c r="C109" s="25">
        <v>925</v>
      </c>
      <c r="D109" s="25">
        <f t="shared" si="8"/>
        <v>1202.5</v>
      </c>
    </row>
    <row r="110" spans="1:4" s="6" customFormat="1" ht="48.75" customHeight="1" x14ac:dyDescent="0.4">
      <c r="A110" s="23">
        <v>18673</v>
      </c>
      <c r="B110" s="28" t="s">
        <v>34</v>
      </c>
      <c r="C110" s="25">
        <v>574</v>
      </c>
      <c r="D110" s="25">
        <f t="shared" si="8"/>
        <v>746.2</v>
      </c>
    </row>
    <row r="111" spans="1:4" s="6" customFormat="1" ht="48.75" customHeight="1" x14ac:dyDescent="0.4">
      <c r="A111" s="23">
        <v>18694</v>
      </c>
      <c r="B111" s="29" t="s">
        <v>29</v>
      </c>
      <c r="C111" s="25">
        <v>545</v>
      </c>
      <c r="D111" s="25">
        <f t="shared" si="8"/>
        <v>708.5</v>
      </c>
    </row>
    <row r="112" spans="1:4" s="6" customFormat="1" ht="48.75" customHeight="1" x14ac:dyDescent="0.4">
      <c r="A112" s="23">
        <v>18900</v>
      </c>
      <c r="B112" s="29" t="s">
        <v>141</v>
      </c>
      <c r="C112" s="25">
        <v>218.64403500000003</v>
      </c>
      <c r="D112" s="25">
        <f t="shared" si="8"/>
        <v>284.23724550000003</v>
      </c>
    </row>
    <row r="113" spans="1:4" s="6" customFormat="1" ht="48.75" customHeight="1" x14ac:dyDescent="0.4">
      <c r="A113" s="23">
        <v>18901</v>
      </c>
      <c r="B113" s="29" t="s">
        <v>132</v>
      </c>
      <c r="C113" s="25">
        <v>235</v>
      </c>
      <c r="D113" s="25">
        <f t="shared" si="8"/>
        <v>305.5</v>
      </c>
    </row>
    <row r="114" spans="1:4" s="6" customFormat="1" ht="48.75" customHeight="1" x14ac:dyDescent="0.4">
      <c r="A114" s="23">
        <v>18902</v>
      </c>
      <c r="B114" s="29" t="s">
        <v>140</v>
      </c>
      <c r="C114" s="25">
        <v>265</v>
      </c>
      <c r="D114" s="25">
        <f t="shared" si="8"/>
        <v>344.5</v>
      </c>
    </row>
    <row r="115" spans="1:4" s="6" customFormat="1" ht="48.75" customHeight="1" x14ac:dyDescent="0.4">
      <c r="A115" s="23">
        <v>18910</v>
      </c>
      <c r="B115" s="29" t="s">
        <v>200</v>
      </c>
      <c r="C115" s="25">
        <v>1084</v>
      </c>
      <c r="D115" s="25">
        <f t="shared" si="8"/>
        <v>1409.2</v>
      </c>
    </row>
    <row r="116" spans="1:4" s="6" customFormat="1" ht="48.75" customHeight="1" x14ac:dyDescent="0.4">
      <c r="A116" s="23">
        <v>19056</v>
      </c>
      <c r="B116" s="29" t="s">
        <v>77</v>
      </c>
      <c r="C116" s="25">
        <v>174</v>
      </c>
      <c r="D116" s="25">
        <f t="shared" si="8"/>
        <v>226.20000000000002</v>
      </c>
    </row>
    <row r="117" spans="1:4" s="6" customFormat="1" ht="48.75" customHeight="1" x14ac:dyDescent="0.4">
      <c r="A117" s="23">
        <v>19187</v>
      </c>
      <c r="B117" s="29" t="s">
        <v>264</v>
      </c>
      <c r="C117" s="25">
        <v>370</v>
      </c>
      <c r="D117" s="25">
        <f t="shared" si="8"/>
        <v>481</v>
      </c>
    </row>
    <row r="118" spans="1:4" s="6" customFormat="1" ht="48.75" customHeight="1" x14ac:dyDescent="0.4">
      <c r="A118" s="23">
        <v>19208</v>
      </c>
      <c r="B118" s="29" t="s">
        <v>114</v>
      </c>
      <c r="C118" s="25">
        <v>549.15246000000002</v>
      </c>
      <c r="D118" s="25">
        <f t="shared" si="8"/>
        <v>713.89819800000009</v>
      </c>
    </row>
    <row r="119" spans="1:4" s="6" customFormat="1" ht="48.75" customHeight="1" x14ac:dyDescent="0.4">
      <c r="A119" s="23">
        <v>19209</v>
      </c>
      <c r="B119" s="29" t="s">
        <v>126</v>
      </c>
      <c r="C119" s="25">
        <v>599</v>
      </c>
      <c r="D119" s="25">
        <f t="shared" si="8"/>
        <v>778.7</v>
      </c>
    </row>
    <row r="120" spans="1:4" s="6" customFormat="1" ht="48.75" customHeight="1" x14ac:dyDescent="0.4">
      <c r="A120" s="23">
        <v>19292</v>
      </c>
      <c r="B120" s="29" t="s">
        <v>228</v>
      </c>
      <c r="C120" s="25">
        <v>378</v>
      </c>
      <c r="D120" s="25">
        <f t="shared" si="8"/>
        <v>491.40000000000003</v>
      </c>
    </row>
    <row r="121" spans="1:4" s="6" customFormat="1" ht="48.75" customHeight="1" x14ac:dyDescent="0.4">
      <c r="A121" s="23">
        <v>19325</v>
      </c>
      <c r="B121" s="29" t="s">
        <v>154</v>
      </c>
      <c r="C121" s="25">
        <v>509</v>
      </c>
      <c r="D121" s="25">
        <f t="shared" si="8"/>
        <v>661.7</v>
      </c>
    </row>
    <row r="122" spans="1:4" s="6" customFormat="1" ht="48.75" customHeight="1" x14ac:dyDescent="0.4">
      <c r="A122" s="23">
        <v>19346</v>
      </c>
      <c r="B122" s="29" t="s">
        <v>75</v>
      </c>
      <c r="C122" s="25">
        <v>269</v>
      </c>
      <c r="D122" s="25">
        <f t="shared" si="8"/>
        <v>349.7</v>
      </c>
    </row>
    <row r="123" spans="1:4" s="6" customFormat="1" ht="48.75" customHeight="1" x14ac:dyDescent="0.4">
      <c r="A123" s="23">
        <v>19347</v>
      </c>
      <c r="B123" s="29" t="s">
        <v>137</v>
      </c>
      <c r="C123" s="25">
        <v>299</v>
      </c>
      <c r="D123" s="25">
        <f t="shared" si="8"/>
        <v>388.7</v>
      </c>
    </row>
    <row r="124" spans="1:4" s="6" customFormat="1" ht="48.75" customHeight="1" x14ac:dyDescent="0.4">
      <c r="A124" s="23">
        <v>19562</v>
      </c>
      <c r="B124" s="29" t="s">
        <v>148</v>
      </c>
      <c r="C124" s="25">
        <v>515.59314300000005</v>
      </c>
      <c r="D124" s="25">
        <f t="shared" si="8"/>
        <v>670.27108590000012</v>
      </c>
    </row>
    <row r="125" spans="1:4" s="6" customFormat="1" ht="48.75" customHeight="1" x14ac:dyDescent="0.4">
      <c r="A125" s="23">
        <v>19579</v>
      </c>
      <c r="B125" s="30" t="s">
        <v>134</v>
      </c>
      <c r="C125" s="25">
        <v>528</v>
      </c>
      <c r="D125" s="25">
        <f t="shared" si="8"/>
        <v>686.4</v>
      </c>
    </row>
    <row r="126" spans="1:4" s="6" customFormat="1" ht="48.75" customHeight="1" x14ac:dyDescent="0.4">
      <c r="A126" s="23">
        <v>19581</v>
      </c>
      <c r="B126" s="30" t="s">
        <v>138</v>
      </c>
      <c r="C126" s="25">
        <v>515</v>
      </c>
      <c r="D126" s="25">
        <f t="shared" si="8"/>
        <v>669.5</v>
      </c>
    </row>
    <row r="127" spans="1:4" s="6" customFormat="1" ht="48.75" customHeight="1" x14ac:dyDescent="0.4">
      <c r="A127" s="23">
        <v>19582</v>
      </c>
      <c r="B127" s="30" t="s">
        <v>165</v>
      </c>
      <c r="C127" s="25">
        <v>528</v>
      </c>
      <c r="D127" s="25">
        <f t="shared" si="8"/>
        <v>686.4</v>
      </c>
    </row>
    <row r="128" spans="1:4" s="6" customFormat="1" ht="48.75" customHeight="1" x14ac:dyDescent="0.4">
      <c r="A128" s="23">
        <v>19583</v>
      </c>
      <c r="B128" s="30" t="s">
        <v>139</v>
      </c>
      <c r="C128" s="25">
        <v>515</v>
      </c>
      <c r="D128" s="25">
        <f t="shared" si="8"/>
        <v>669.5</v>
      </c>
    </row>
    <row r="129" spans="1:4" s="6" customFormat="1" ht="48.75" customHeight="1" x14ac:dyDescent="0.4">
      <c r="A129" s="23">
        <v>19589</v>
      </c>
      <c r="B129" s="28" t="s">
        <v>125</v>
      </c>
      <c r="C129" s="25">
        <v>499.32195900000005</v>
      </c>
      <c r="D129" s="25">
        <f t="shared" si="8"/>
        <v>649.11854670000014</v>
      </c>
    </row>
    <row r="130" spans="1:4" s="6" customFormat="1" ht="48.75" customHeight="1" x14ac:dyDescent="0.4">
      <c r="A130" s="23">
        <v>19605</v>
      </c>
      <c r="B130" s="28" t="s">
        <v>211</v>
      </c>
      <c r="C130" s="25">
        <v>425</v>
      </c>
      <c r="D130" s="25">
        <f t="shared" si="8"/>
        <v>552.5</v>
      </c>
    </row>
    <row r="131" spans="1:4" s="6" customFormat="1" ht="48.75" customHeight="1" x14ac:dyDescent="0.4">
      <c r="A131" s="23">
        <v>19606</v>
      </c>
      <c r="B131" s="28" t="s">
        <v>210</v>
      </c>
      <c r="C131" s="25">
        <v>425</v>
      </c>
      <c r="D131" s="25">
        <f t="shared" si="8"/>
        <v>552.5</v>
      </c>
    </row>
    <row r="132" spans="1:4" s="6" customFormat="1" ht="48.75" customHeight="1" x14ac:dyDescent="0.4">
      <c r="A132" s="23">
        <v>19626</v>
      </c>
      <c r="B132" s="28" t="s">
        <v>148</v>
      </c>
      <c r="C132" s="25">
        <v>252</v>
      </c>
      <c r="D132" s="25">
        <f t="shared" si="8"/>
        <v>327.60000000000002</v>
      </c>
    </row>
    <row r="133" spans="1:4" s="6" customFormat="1" ht="48.75" customHeight="1" x14ac:dyDescent="0.4">
      <c r="A133" s="23">
        <v>19674</v>
      </c>
      <c r="B133" s="28" t="s">
        <v>152</v>
      </c>
      <c r="C133" s="25">
        <v>538.98297000000002</v>
      </c>
      <c r="D133" s="25">
        <f t="shared" si="8"/>
        <v>700.67786100000001</v>
      </c>
    </row>
    <row r="134" spans="1:4" s="6" customFormat="1" ht="48.75" customHeight="1" x14ac:dyDescent="0.4">
      <c r="A134" s="23">
        <v>19716</v>
      </c>
      <c r="B134" s="28" t="s">
        <v>176</v>
      </c>
      <c r="C134" s="25">
        <v>675</v>
      </c>
      <c r="D134" s="25">
        <f t="shared" si="8"/>
        <v>877.5</v>
      </c>
    </row>
    <row r="135" spans="1:4" s="6" customFormat="1" ht="48.75" customHeight="1" x14ac:dyDescent="0.4">
      <c r="A135" s="23">
        <v>19919</v>
      </c>
      <c r="B135" s="28" t="s">
        <v>227</v>
      </c>
      <c r="C135" s="25">
        <v>292</v>
      </c>
      <c r="D135" s="25">
        <f t="shared" si="8"/>
        <v>379.6</v>
      </c>
    </row>
    <row r="136" spans="1:4" s="6" customFormat="1" ht="48.75" customHeight="1" x14ac:dyDescent="0.4">
      <c r="A136" s="23">
        <v>19922</v>
      </c>
      <c r="B136" s="28" t="s">
        <v>175</v>
      </c>
      <c r="C136" s="25">
        <v>648</v>
      </c>
      <c r="D136" s="25">
        <f t="shared" si="8"/>
        <v>842.4</v>
      </c>
    </row>
    <row r="137" spans="1:4" s="6" customFormat="1" ht="48.75" customHeight="1" x14ac:dyDescent="0.4">
      <c r="A137" s="23">
        <v>19928</v>
      </c>
      <c r="B137" s="28" t="s">
        <v>173</v>
      </c>
      <c r="C137" s="25">
        <v>635</v>
      </c>
      <c r="D137" s="25">
        <f t="shared" si="8"/>
        <v>825.5</v>
      </c>
    </row>
    <row r="138" spans="1:4" s="6" customFormat="1" ht="48.75" customHeight="1" x14ac:dyDescent="0.4">
      <c r="A138" s="23">
        <v>20021</v>
      </c>
      <c r="B138" s="28" t="s">
        <v>213</v>
      </c>
      <c r="C138" s="25">
        <v>485</v>
      </c>
      <c r="D138" s="25">
        <f t="shared" si="8"/>
        <v>630.5</v>
      </c>
    </row>
    <row r="139" spans="1:4" s="6" customFormat="1" ht="48.75" customHeight="1" x14ac:dyDescent="0.4">
      <c r="A139" s="23">
        <v>20022</v>
      </c>
      <c r="B139" s="28" t="s">
        <v>214</v>
      </c>
      <c r="C139" s="25">
        <v>465</v>
      </c>
      <c r="D139" s="25">
        <f t="shared" si="8"/>
        <v>604.5</v>
      </c>
    </row>
    <row r="140" spans="1:4" s="6" customFormat="1" ht="48.75" customHeight="1" x14ac:dyDescent="0.4">
      <c r="A140" s="23">
        <v>20024</v>
      </c>
      <c r="B140" s="28" t="s">
        <v>215</v>
      </c>
      <c r="C140" s="25">
        <v>465</v>
      </c>
      <c r="D140" s="25">
        <f t="shared" si="8"/>
        <v>604.5</v>
      </c>
    </row>
    <row r="141" spans="1:4" s="6" customFormat="1" ht="48.75" customHeight="1" x14ac:dyDescent="0.4">
      <c r="A141" s="23">
        <v>20060</v>
      </c>
      <c r="B141" s="28" t="s">
        <v>216</v>
      </c>
      <c r="C141" s="25">
        <v>578</v>
      </c>
      <c r="D141" s="25">
        <f t="shared" si="8"/>
        <v>751.4</v>
      </c>
    </row>
    <row r="142" spans="1:4" s="6" customFormat="1" ht="48.75" customHeight="1" x14ac:dyDescent="0.4">
      <c r="A142" s="23">
        <v>20062</v>
      </c>
      <c r="B142" s="28" t="s">
        <v>217</v>
      </c>
      <c r="C142" s="25">
        <v>578</v>
      </c>
      <c r="D142" s="25">
        <f t="shared" si="8"/>
        <v>751.4</v>
      </c>
    </row>
    <row r="143" spans="1:4" s="6" customFormat="1" ht="48.75" customHeight="1" x14ac:dyDescent="0.4">
      <c r="A143" s="31">
        <v>90128</v>
      </c>
      <c r="B143" s="34" t="s">
        <v>146</v>
      </c>
      <c r="C143" s="33">
        <v>237</v>
      </c>
      <c r="D143" s="33">
        <f t="shared" si="8"/>
        <v>308.10000000000002</v>
      </c>
    </row>
    <row r="144" spans="1:4" s="6" customFormat="1" ht="48.75" customHeight="1" x14ac:dyDescent="0.4">
      <c r="A144" s="31">
        <v>90129</v>
      </c>
      <c r="B144" s="34" t="s">
        <v>271</v>
      </c>
      <c r="C144" s="33">
        <v>268.47000000000003</v>
      </c>
      <c r="D144" s="33">
        <f t="shared" si="8"/>
        <v>349.01100000000002</v>
      </c>
    </row>
    <row r="145" spans="1:4" ht="74.25" customHeight="1" x14ac:dyDescent="0.2"/>
    <row r="146" spans="1:4" ht="42" customHeight="1" x14ac:dyDescent="0.2">
      <c r="A146" s="35" t="s">
        <v>66</v>
      </c>
      <c r="B146" s="36"/>
      <c r="C146" s="36"/>
      <c r="D146" s="36"/>
    </row>
    <row r="147" spans="1:4" s="11" customFormat="1" ht="39.75" customHeight="1" x14ac:dyDescent="0.4">
      <c r="A147" s="10" t="s">
        <v>8</v>
      </c>
      <c r="B147" s="10" t="s">
        <v>7</v>
      </c>
      <c r="C147" s="10" t="s">
        <v>110</v>
      </c>
      <c r="D147" s="10" t="s">
        <v>111</v>
      </c>
    </row>
    <row r="148" spans="1:4" s="3" customFormat="1" ht="33" customHeight="1" x14ac:dyDescent="0.4">
      <c r="A148" s="23">
        <v>12632</v>
      </c>
      <c r="B148" s="26" t="s">
        <v>230</v>
      </c>
      <c r="C148" s="25">
        <v>34.49</v>
      </c>
      <c r="D148" s="25">
        <f>C148*1.4</f>
        <v>48.286000000000001</v>
      </c>
    </row>
    <row r="149" spans="1:4" s="3" customFormat="1" ht="33" customHeight="1" x14ac:dyDescent="0.4">
      <c r="A149" s="23">
        <v>14765</v>
      </c>
      <c r="B149" s="26" t="s">
        <v>98</v>
      </c>
      <c r="C149" s="25">
        <v>33.050842500000002</v>
      </c>
      <c r="D149" s="25">
        <f t="shared" ref="D149:D197" si="9">C149*1.4</f>
        <v>46.271179500000002</v>
      </c>
    </row>
    <row r="150" spans="1:4" s="3" customFormat="1" ht="33" customHeight="1" x14ac:dyDescent="0.4">
      <c r="A150" s="23">
        <v>15202</v>
      </c>
      <c r="B150" s="26" t="s">
        <v>100</v>
      </c>
      <c r="C150" s="25">
        <v>10.169490000000001</v>
      </c>
      <c r="D150" s="25">
        <f t="shared" si="9"/>
        <v>14.237286000000001</v>
      </c>
    </row>
    <row r="151" spans="1:4" s="3" customFormat="1" ht="33" customHeight="1" x14ac:dyDescent="0.4">
      <c r="A151" s="23">
        <v>15470</v>
      </c>
      <c r="B151" s="26" t="s">
        <v>99</v>
      </c>
      <c r="C151" s="25">
        <v>8.1355920000000008</v>
      </c>
      <c r="D151" s="25">
        <f t="shared" si="9"/>
        <v>11.3898288</v>
      </c>
    </row>
    <row r="152" spans="1:4" s="3" customFormat="1" ht="33" customHeight="1" x14ac:dyDescent="0.4">
      <c r="A152" s="23">
        <v>15932</v>
      </c>
      <c r="B152" s="26" t="s">
        <v>253</v>
      </c>
      <c r="C152" s="25">
        <v>12.5</v>
      </c>
      <c r="D152" s="25">
        <f t="shared" si="9"/>
        <v>17.5</v>
      </c>
    </row>
    <row r="153" spans="1:4" s="3" customFormat="1" ht="33" customHeight="1" x14ac:dyDescent="0.4">
      <c r="A153" s="23">
        <v>16087</v>
      </c>
      <c r="B153" s="26" t="s">
        <v>231</v>
      </c>
      <c r="C153" s="25">
        <v>27.23</v>
      </c>
      <c r="D153" s="25">
        <f t="shared" si="9"/>
        <v>38.122</v>
      </c>
    </row>
    <row r="154" spans="1:4" s="3" customFormat="1" ht="33" customHeight="1" x14ac:dyDescent="0.4">
      <c r="A154" s="23">
        <v>16089</v>
      </c>
      <c r="B154" s="26" t="s">
        <v>232</v>
      </c>
      <c r="C154" s="25">
        <v>8.5</v>
      </c>
      <c r="D154" s="25">
        <f t="shared" si="9"/>
        <v>11.899999999999999</v>
      </c>
    </row>
    <row r="155" spans="1:4" s="3" customFormat="1" ht="33" customHeight="1" x14ac:dyDescent="0.4">
      <c r="A155" s="23">
        <v>16091</v>
      </c>
      <c r="B155" s="26" t="s">
        <v>81</v>
      </c>
      <c r="C155" s="25">
        <v>8.644066500000001</v>
      </c>
      <c r="D155" s="25">
        <f t="shared" si="9"/>
        <v>12.1016931</v>
      </c>
    </row>
    <row r="156" spans="1:4" s="3" customFormat="1" ht="33" customHeight="1" x14ac:dyDescent="0.4">
      <c r="A156" s="23">
        <v>16187</v>
      </c>
      <c r="B156" s="26" t="s">
        <v>41</v>
      </c>
      <c r="C156" s="25">
        <v>13.220337000000001</v>
      </c>
      <c r="D156" s="25">
        <f t="shared" si="9"/>
        <v>18.508471799999999</v>
      </c>
    </row>
    <row r="157" spans="1:4" s="3" customFormat="1" ht="33" customHeight="1" x14ac:dyDescent="0.4">
      <c r="A157" s="23">
        <v>16537</v>
      </c>
      <c r="B157" s="26" t="s">
        <v>101</v>
      </c>
      <c r="C157" s="25">
        <v>10.169490000000001</v>
      </c>
      <c r="D157" s="25">
        <f t="shared" si="9"/>
        <v>14.237286000000001</v>
      </c>
    </row>
    <row r="158" spans="1:4" s="3" customFormat="1" ht="33" customHeight="1" x14ac:dyDescent="0.4">
      <c r="A158" s="23">
        <v>16719</v>
      </c>
      <c r="B158" s="26" t="s">
        <v>61</v>
      </c>
      <c r="C158" s="25">
        <v>8.1355920000000008</v>
      </c>
      <c r="D158" s="25">
        <f t="shared" si="9"/>
        <v>11.3898288</v>
      </c>
    </row>
    <row r="159" spans="1:4" s="3" customFormat="1" ht="33" customHeight="1" x14ac:dyDescent="0.4">
      <c r="A159" s="23">
        <v>16721</v>
      </c>
      <c r="B159" s="26" t="s">
        <v>35</v>
      </c>
      <c r="C159" s="25">
        <v>8.644066500000001</v>
      </c>
      <c r="D159" s="25">
        <f t="shared" si="9"/>
        <v>12.1016931</v>
      </c>
    </row>
    <row r="160" spans="1:4" s="3" customFormat="1" ht="33" customHeight="1" x14ac:dyDescent="0.4">
      <c r="A160" s="23">
        <v>16731</v>
      </c>
      <c r="B160" s="26" t="s">
        <v>2</v>
      </c>
      <c r="C160" s="25">
        <v>8.5</v>
      </c>
      <c r="D160" s="25">
        <f t="shared" si="9"/>
        <v>11.899999999999999</v>
      </c>
    </row>
    <row r="161" spans="1:4" s="3" customFormat="1" ht="33" customHeight="1" x14ac:dyDescent="0.4">
      <c r="A161" s="23">
        <v>17028</v>
      </c>
      <c r="B161" s="26" t="s">
        <v>102</v>
      </c>
      <c r="C161" s="25">
        <v>13.220337000000001</v>
      </c>
      <c r="D161" s="25">
        <f t="shared" si="9"/>
        <v>18.508471799999999</v>
      </c>
    </row>
    <row r="162" spans="1:4" s="3" customFormat="1" ht="33" customHeight="1" x14ac:dyDescent="0.4">
      <c r="A162" s="23">
        <v>17029</v>
      </c>
      <c r="B162" s="26" t="s">
        <v>103</v>
      </c>
      <c r="C162" s="25">
        <v>12.203388</v>
      </c>
      <c r="D162" s="25">
        <f t="shared" si="9"/>
        <v>17.084743199999998</v>
      </c>
    </row>
    <row r="163" spans="1:4" s="3" customFormat="1" ht="33" customHeight="1" x14ac:dyDescent="0.4">
      <c r="A163" s="23">
        <v>17030</v>
      </c>
      <c r="B163" s="26" t="s">
        <v>104</v>
      </c>
      <c r="C163" s="25">
        <v>12.203388</v>
      </c>
      <c r="D163" s="25">
        <f t="shared" si="9"/>
        <v>17.084743199999998</v>
      </c>
    </row>
    <row r="164" spans="1:4" s="3" customFormat="1" ht="33" customHeight="1" x14ac:dyDescent="0.4">
      <c r="A164" s="23">
        <v>17182</v>
      </c>
      <c r="B164" s="26" t="s">
        <v>233</v>
      </c>
      <c r="C164" s="25">
        <v>32.542368000000003</v>
      </c>
      <c r="D164" s="25">
        <f t="shared" si="9"/>
        <v>45.5593152</v>
      </c>
    </row>
    <row r="165" spans="1:4" s="3" customFormat="1" ht="33" customHeight="1" x14ac:dyDescent="0.4">
      <c r="A165" s="23">
        <v>17246</v>
      </c>
      <c r="B165" s="26" t="s">
        <v>209</v>
      </c>
      <c r="C165" s="25">
        <v>45</v>
      </c>
      <c r="D165" s="25">
        <f t="shared" si="9"/>
        <v>62.999999999999993</v>
      </c>
    </row>
    <row r="166" spans="1:4" s="3" customFormat="1" ht="33" customHeight="1" x14ac:dyDescent="0.4">
      <c r="A166" s="23">
        <v>17247</v>
      </c>
      <c r="B166" s="26" t="s">
        <v>194</v>
      </c>
      <c r="C166" s="25">
        <v>42</v>
      </c>
      <c r="D166" s="25">
        <f t="shared" si="9"/>
        <v>58.8</v>
      </c>
    </row>
    <row r="167" spans="1:4" s="3" customFormat="1" ht="33" customHeight="1" x14ac:dyDescent="0.4">
      <c r="A167" s="23">
        <v>17305</v>
      </c>
      <c r="B167" s="26" t="s">
        <v>1</v>
      </c>
      <c r="C167" s="25">
        <v>8.5</v>
      </c>
      <c r="D167" s="25">
        <f t="shared" si="9"/>
        <v>11.899999999999999</v>
      </c>
    </row>
    <row r="168" spans="1:4" s="3" customFormat="1" ht="33" customHeight="1" x14ac:dyDescent="0.4">
      <c r="A168" s="23">
        <v>17306</v>
      </c>
      <c r="B168" s="26" t="s">
        <v>80</v>
      </c>
      <c r="C168" s="25">
        <v>9.0299999999999994</v>
      </c>
      <c r="D168" s="25">
        <f t="shared" si="9"/>
        <v>12.641999999999998</v>
      </c>
    </row>
    <row r="169" spans="1:4" s="3" customFormat="1" ht="33" customHeight="1" x14ac:dyDescent="0.4">
      <c r="A169" s="23">
        <v>17311</v>
      </c>
      <c r="B169" s="26" t="s">
        <v>221</v>
      </c>
      <c r="C169" s="25">
        <v>9</v>
      </c>
      <c r="D169" s="25">
        <f t="shared" si="9"/>
        <v>12.6</v>
      </c>
    </row>
    <row r="170" spans="1:4" s="3" customFormat="1" ht="33" customHeight="1" x14ac:dyDescent="0.4">
      <c r="A170" s="23">
        <v>17527</v>
      </c>
      <c r="B170" s="26" t="s">
        <v>234</v>
      </c>
      <c r="C170" s="25">
        <v>25</v>
      </c>
      <c r="D170" s="25">
        <f t="shared" si="9"/>
        <v>35</v>
      </c>
    </row>
    <row r="171" spans="1:4" s="3" customFormat="1" ht="33" customHeight="1" x14ac:dyDescent="0.4">
      <c r="A171" s="23">
        <v>17538</v>
      </c>
      <c r="B171" s="26" t="s">
        <v>45</v>
      </c>
      <c r="C171" s="25">
        <v>14.237286000000001</v>
      </c>
      <c r="D171" s="25">
        <f t="shared" si="9"/>
        <v>19.932200399999999</v>
      </c>
    </row>
    <row r="172" spans="1:4" s="3" customFormat="1" ht="33" customHeight="1" x14ac:dyDescent="0.4">
      <c r="A172" s="23">
        <v>17556</v>
      </c>
      <c r="B172" s="26" t="s">
        <v>177</v>
      </c>
      <c r="C172" s="25">
        <v>12.5</v>
      </c>
      <c r="D172" s="25">
        <f t="shared" si="9"/>
        <v>17.5</v>
      </c>
    </row>
    <row r="173" spans="1:4" ht="32.25" customHeight="1" x14ac:dyDescent="0.4">
      <c r="A173" s="23">
        <v>17616</v>
      </c>
      <c r="B173" s="24" t="s">
        <v>196</v>
      </c>
      <c r="C173" s="25">
        <v>14</v>
      </c>
      <c r="D173" s="25">
        <f t="shared" si="9"/>
        <v>19.599999999999998</v>
      </c>
    </row>
    <row r="174" spans="1:4" ht="32.25" customHeight="1" x14ac:dyDescent="0.4">
      <c r="A174" s="23">
        <v>17615</v>
      </c>
      <c r="B174" s="26" t="s">
        <v>249</v>
      </c>
      <c r="C174" s="25">
        <v>12.5</v>
      </c>
      <c r="D174" s="25">
        <f t="shared" si="9"/>
        <v>17.5</v>
      </c>
    </row>
    <row r="175" spans="1:4" s="3" customFormat="1" ht="33" customHeight="1" x14ac:dyDescent="0.4">
      <c r="A175" s="23">
        <v>17617</v>
      </c>
      <c r="B175" s="26" t="s">
        <v>105</v>
      </c>
      <c r="C175" s="25">
        <v>12.203388</v>
      </c>
      <c r="D175" s="25">
        <f t="shared" si="9"/>
        <v>17.084743199999998</v>
      </c>
    </row>
    <row r="176" spans="1:4" s="3" customFormat="1" ht="33" customHeight="1" x14ac:dyDescent="0.4">
      <c r="A176" s="23">
        <v>17658</v>
      </c>
      <c r="B176" s="26" t="s">
        <v>235</v>
      </c>
      <c r="C176" s="25">
        <v>32.32</v>
      </c>
      <c r="D176" s="25">
        <f t="shared" si="9"/>
        <v>45.247999999999998</v>
      </c>
    </row>
    <row r="177" spans="1:4" s="3" customFormat="1" ht="33" customHeight="1" x14ac:dyDescent="0.4">
      <c r="A177" s="23">
        <v>17844</v>
      </c>
      <c r="B177" s="26" t="s">
        <v>106</v>
      </c>
      <c r="C177" s="25">
        <v>19.322031000000003</v>
      </c>
      <c r="D177" s="25">
        <f t="shared" si="9"/>
        <v>27.050843400000002</v>
      </c>
    </row>
    <row r="178" spans="1:4" s="3" customFormat="1" ht="33" customHeight="1" x14ac:dyDescent="0.4">
      <c r="A178" s="23">
        <v>17845</v>
      </c>
      <c r="B178" s="26" t="s">
        <v>251</v>
      </c>
      <c r="C178" s="25">
        <v>36</v>
      </c>
      <c r="D178" s="25">
        <f t="shared" si="9"/>
        <v>50.4</v>
      </c>
    </row>
    <row r="179" spans="1:4" s="3" customFormat="1" ht="33" customHeight="1" x14ac:dyDescent="0.4">
      <c r="A179" s="23">
        <v>18103</v>
      </c>
      <c r="B179" s="26" t="s">
        <v>52</v>
      </c>
      <c r="C179" s="25">
        <v>8.1355920000000008</v>
      </c>
      <c r="D179" s="25">
        <f t="shared" si="9"/>
        <v>11.3898288</v>
      </c>
    </row>
    <row r="180" spans="1:4" s="3" customFormat="1" ht="33" customHeight="1" x14ac:dyDescent="0.4">
      <c r="A180" s="23">
        <v>18202</v>
      </c>
      <c r="B180" s="26" t="s">
        <v>131</v>
      </c>
      <c r="C180" s="25">
        <v>20.338980000000003</v>
      </c>
      <c r="D180" s="25">
        <f t="shared" si="9"/>
        <v>28.474572000000002</v>
      </c>
    </row>
    <row r="181" spans="1:4" s="3" customFormat="1" ht="33" customHeight="1" x14ac:dyDescent="0.4">
      <c r="A181" s="23">
        <v>18394</v>
      </c>
      <c r="B181" s="26" t="s">
        <v>107</v>
      </c>
      <c r="C181" s="25">
        <v>36.61</v>
      </c>
      <c r="D181" s="25">
        <f t="shared" si="9"/>
        <v>51.253999999999998</v>
      </c>
    </row>
    <row r="182" spans="1:4" s="3" customFormat="1" ht="33" customHeight="1" x14ac:dyDescent="0.4">
      <c r="A182" s="23">
        <v>18399</v>
      </c>
      <c r="B182" s="26" t="s">
        <v>108</v>
      </c>
      <c r="C182" s="25">
        <v>23.389827000000004</v>
      </c>
      <c r="D182" s="25">
        <f t="shared" si="9"/>
        <v>32.745757800000007</v>
      </c>
    </row>
    <row r="183" spans="1:4" s="3" customFormat="1" ht="33" customHeight="1" x14ac:dyDescent="0.4">
      <c r="A183" s="23">
        <v>18410</v>
      </c>
      <c r="B183" s="26" t="s">
        <v>119</v>
      </c>
      <c r="C183" s="25">
        <v>32.542368000000003</v>
      </c>
      <c r="D183" s="25">
        <f t="shared" si="9"/>
        <v>45.5593152</v>
      </c>
    </row>
    <row r="184" spans="1:4" s="3" customFormat="1" ht="33" customHeight="1" x14ac:dyDescent="0.4">
      <c r="A184" s="23">
        <v>18527</v>
      </c>
      <c r="B184" s="26" t="s">
        <v>236</v>
      </c>
      <c r="C184" s="25">
        <v>24.406776000000001</v>
      </c>
      <c r="D184" s="25">
        <f t="shared" si="9"/>
        <v>34.169486399999997</v>
      </c>
    </row>
    <row r="185" spans="1:4" s="3" customFormat="1" ht="33" customHeight="1" x14ac:dyDescent="0.4">
      <c r="A185" s="23">
        <v>18557</v>
      </c>
      <c r="B185" s="26" t="s">
        <v>120</v>
      </c>
      <c r="C185" s="25">
        <v>12.203388</v>
      </c>
      <c r="D185" s="25">
        <f t="shared" si="9"/>
        <v>17.084743199999998</v>
      </c>
    </row>
    <row r="186" spans="1:4" s="3" customFormat="1" ht="33" customHeight="1" x14ac:dyDescent="0.4">
      <c r="A186" s="23">
        <v>19308</v>
      </c>
      <c r="B186" s="26" t="s">
        <v>226</v>
      </c>
      <c r="C186" s="25">
        <v>37</v>
      </c>
      <c r="D186" s="25">
        <f t="shared" si="9"/>
        <v>51.8</v>
      </c>
    </row>
    <row r="187" spans="1:4" ht="33" customHeight="1" x14ac:dyDescent="0.4">
      <c r="A187" s="23">
        <v>19309</v>
      </c>
      <c r="B187" s="26" t="s">
        <v>97</v>
      </c>
      <c r="C187" s="25">
        <v>32</v>
      </c>
      <c r="D187" s="25">
        <f t="shared" si="9"/>
        <v>44.8</v>
      </c>
    </row>
    <row r="188" spans="1:4" ht="33" customHeight="1" x14ac:dyDescent="0.4">
      <c r="A188" s="23">
        <v>19310</v>
      </c>
      <c r="B188" s="26" t="s">
        <v>186</v>
      </c>
      <c r="C188" s="25">
        <v>13.63</v>
      </c>
      <c r="D188" s="25">
        <f t="shared" si="9"/>
        <v>19.082000000000001</v>
      </c>
    </row>
    <row r="189" spans="1:4" ht="33" customHeight="1" x14ac:dyDescent="0.4">
      <c r="A189" s="23">
        <v>19577</v>
      </c>
      <c r="B189" s="26" t="s">
        <v>223</v>
      </c>
      <c r="C189" s="25">
        <v>31</v>
      </c>
      <c r="D189" s="25">
        <f t="shared" si="9"/>
        <v>43.4</v>
      </c>
    </row>
    <row r="190" spans="1:4" ht="33" customHeight="1" x14ac:dyDescent="0.4">
      <c r="A190" s="23">
        <v>19578</v>
      </c>
      <c r="B190" s="26" t="s">
        <v>224</v>
      </c>
      <c r="C190" s="25">
        <v>26</v>
      </c>
      <c r="D190" s="25">
        <f t="shared" si="9"/>
        <v>36.4</v>
      </c>
    </row>
    <row r="191" spans="1:4" ht="33" customHeight="1" x14ac:dyDescent="0.4">
      <c r="A191" s="23">
        <v>19587</v>
      </c>
      <c r="B191" s="26" t="s">
        <v>195</v>
      </c>
      <c r="C191" s="25">
        <v>11</v>
      </c>
      <c r="D191" s="25">
        <f t="shared" si="9"/>
        <v>15.399999999999999</v>
      </c>
    </row>
    <row r="192" spans="1:4" ht="33" customHeight="1" x14ac:dyDescent="0.4">
      <c r="A192" s="23">
        <v>19809</v>
      </c>
      <c r="B192" s="26" t="s">
        <v>237</v>
      </c>
      <c r="C192" s="25">
        <v>34.83</v>
      </c>
      <c r="D192" s="25">
        <f t="shared" si="9"/>
        <v>48.761999999999993</v>
      </c>
    </row>
    <row r="193" spans="1:4" ht="33" customHeight="1" x14ac:dyDescent="0.4">
      <c r="A193" s="23">
        <v>19810</v>
      </c>
      <c r="B193" s="26" t="s">
        <v>238</v>
      </c>
      <c r="C193" s="25">
        <v>34.83</v>
      </c>
      <c r="D193" s="25">
        <f t="shared" si="9"/>
        <v>48.761999999999993</v>
      </c>
    </row>
    <row r="194" spans="1:4" ht="33" customHeight="1" x14ac:dyDescent="0.4">
      <c r="A194" s="23">
        <v>19816</v>
      </c>
      <c r="B194" s="26" t="s">
        <v>178</v>
      </c>
      <c r="C194" s="25">
        <v>30</v>
      </c>
      <c r="D194" s="25">
        <f t="shared" si="9"/>
        <v>42</v>
      </c>
    </row>
    <row r="195" spans="1:4" ht="33" customHeight="1" x14ac:dyDescent="0.4">
      <c r="A195" s="23">
        <v>18961</v>
      </c>
      <c r="B195" s="26" t="s">
        <v>69</v>
      </c>
      <c r="C195" s="25">
        <v>2.25</v>
      </c>
      <c r="D195" s="25">
        <f t="shared" si="9"/>
        <v>3.15</v>
      </c>
    </row>
    <row r="196" spans="1:4" ht="33" customHeight="1" x14ac:dyDescent="0.4">
      <c r="A196" s="23">
        <v>19983</v>
      </c>
      <c r="B196" s="26" t="s">
        <v>239</v>
      </c>
      <c r="C196" s="25">
        <v>34</v>
      </c>
      <c r="D196" s="25">
        <f t="shared" si="9"/>
        <v>47.599999999999994</v>
      </c>
    </row>
    <row r="197" spans="1:4" ht="33" customHeight="1" x14ac:dyDescent="0.4">
      <c r="A197" s="23">
        <v>20029</v>
      </c>
      <c r="B197" s="26" t="s">
        <v>276</v>
      </c>
      <c r="C197" s="25">
        <v>38</v>
      </c>
      <c r="D197" s="25">
        <f t="shared" si="9"/>
        <v>53.199999999999996</v>
      </c>
    </row>
    <row r="198" spans="1:4" ht="33" customHeight="1" x14ac:dyDescent="0.4">
      <c r="A198" s="31">
        <v>20070</v>
      </c>
      <c r="B198" s="32" t="s">
        <v>270</v>
      </c>
      <c r="C198" s="33">
        <v>29.75</v>
      </c>
      <c r="D198" s="33">
        <f t="shared" ref="D198" si="10">C198*1.4</f>
        <v>41.65</v>
      </c>
    </row>
    <row r="199" spans="1:4" ht="74.25" customHeight="1" x14ac:dyDescent="0.2"/>
    <row r="200" spans="1:4" ht="45" x14ac:dyDescent="0.2">
      <c r="A200" s="35" t="s">
        <v>9</v>
      </c>
      <c r="B200" s="36"/>
      <c r="C200" s="36"/>
      <c r="D200" s="36"/>
    </row>
    <row r="201" spans="1:4" s="11" customFormat="1" ht="39.75" customHeight="1" x14ac:dyDescent="0.4">
      <c r="A201" s="10" t="s">
        <v>8</v>
      </c>
      <c r="B201" s="10" t="s">
        <v>7</v>
      </c>
      <c r="C201" s="10" t="s">
        <v>110</v>
      </c>
      <c r="D201" s="10" t="s">
        <v>111</v>
      </c>
    </row>
    <row r="202" spans="1:4" s="3" customFormat="1" ht="41.25" customHeight="1" x14ac:dyDescent="0.4">
      <c r="A202" s="14">
        <v>14571</v>
      </c>
      <c r="B202" s="22" t="s">
        <v>116</v>
      </c>
      <c r="C202" s="38">
        <v>285</v>
      </c>
      <c r="D202" s="38">
        <f>C202*1.6</f>
        <v>456</v>
      </c>
    </row>
    <row r="203" spans="1:4" s="4" customFormat="1" ht="41.25" customHeight="1" x14ac:dyDescent="0.4">
      <c r="A203" s="23">
        <v>14847</v>
      </c>
      <c r="B203" s="24" t="s">
        <v>248</v>
      </c>
      <c r="C203" s="25">
        <v>7.08</v>
      </c>
      <c r="D203" s="25">
        <f>C203*1.4</f>
        <v>9.911999999999999</v>
      </c>
    </row>
    <row r="204" spans="1:4" s="3" customFormat="1" ht="41.25" customHeight="1" x14ac:dyDescent="0.4">
      <c r="A204" s="23">
        <v>15924</v>
      </c>
      <c r="B204" s="24" t="s">
        <v>36</v>
      </c>
      <c r="C204" s="25">
        <v>9.1525410000000011</v>
      </c>
      <c r="D204" s="25">
        <f t="shared" ref="D204:D257" si="11">C204*1.4</f>
        <v>12.813557400000001</v>
      </c>
    </row>
    <row r="205" spans="1:4" s="4" customFormat="1" ht="41.25" customHeight="1" x14ac:dyDescent="0.4">
      <c r="A205" s="23">
        <v>16117</v>
      </c>
      <c r="B205" s="24" t="s">
        <v>78</v>
      </c>
      <c r="C205" s="25">
        <v>0.4</v>
      </c>
      <c r="D205" s="25">
        <f t="shared" si="11"/>
        <v>0.55999999999999994</v>
      </c>
    </row>
    <row r="206" spans="1:4" s="4" customFormat="1" ht="41.25" customHeight="1" x14ac:dyDescent="0.4">
      <c r="A206" s="23">
        <v>16186</v>
      </c>
      <c r="B206" s="24" t="s">
        <v>122</v>
      </c>
      <c r="C206" s="25">
        <v>12.203388</v>
      </c>
      <c r="D206" s="25">
        <f t="shared" si="11"/>
        <v>17.084743199999998</v>
      </c>
    </row>
    <row r="207" spans="1:4" s="4" customFormat="1" ht="41.25" customHeight="1" x14ac:dyDescent="0.4">
      <c r="A207" s="23">
        <v>16793</v>
      </c>
      <c r="B207" s="24" t="s">
        <v>252</v>
      </c>
      <c r="C207" s="25">
        <v>32</v>
      </c>
      <c r="D207" s="25">
        <f t="shared" si="11"/>
        <v>44.8</v>
      </c>
    </row>
    <row r="208" spans="1:4" s="3" customFormat="1" ht="41.25" customHeight="1" x14ac:dyDescent="0.4">
      <c r="A208" s="23">
        <v>16928</v>
      </c>
      <c r="B208" s="24" t="s">
        <v>40</v>
      </c>
      <c r="C208" s="25">
        <v>2.0338980000000002</v>
      </c>
      <c r="D208" s="25">
        <f t="shared" si="11"/>
        <v>2.8474572</v>
      </c>
    </row>
    <row r="209" spans="1:4" s="3" customFormat="1" ht="41.25" customHeight="1" x14ac:dyDescent="0.4">
      <c r="A209" s="23">
        <v>16929</v>
      </c>
      <c r="B209" s="24" t="s">
        <v>39</v>
      </c>
      <c r="C209" s="25">
        <v>10.14</v>
      </c>
      <c r="D209" s="25">
        <f t="shared" si="11"/>
        <v>14.196</v>
      </c>
    </row>
    <row r="210" spans="1:4" ht="41.25" customHeight="1" x14ac:dyDescent="0.4">
      <c r="A210" s="23">
        <v>16930</v>
      </c>
      <c r="B210" s="24" t="s">
        <v>54</v>
      </c>
      <c r="C210" s="25">
        <v>11.152540999999999</v>
      </c>
      <c r="D210" s="25">
        <f t="shared" si="11"/>
        <v>15.613557399999998</v>
      </c>
    </row>
    <row r="211" spans="1:4" ht="41.25" customHeight="1" x14ac:dyDescent="0.4">
      <c r="A211" s="23">
        <v>17206</v>
      </c>
      <c r="B211" s="24" t="s">
        <v>57</v>
      </c>
      <c r="C211" s="25">
        <v>18.305082000000002</v>
      </c>
      <c r="D211" s="25">
        <f t="shared" si="11"/>
        <v>25.627114800000001</v>
      </c>
    </row>
    <row r="212" spans="1:4" ht="41.25" customHeight="1" x14ac:dyDescent="0.4">
      <c r="A212" s="23">
        <v>17207</v>
      </c>
      <c r="B212" s="24" t="s">
        <v>65</v>
      </c>
      <c r="C212" s="25">
        <v>23.389827000000004</v>
      </c>
      <c r="D212" s="25">
        <f t="shared" si="11"/>
        <v>32.745757800000007</v>
      </c>
    </row>
    <row r="213" spans="1:4" s="3" customFormat="1" ht="41.25" customHeight="1" x14ac:dyDescent="0.4">
      <c r="A213" s="23">
        <v>17316</v>
      </c>
      <c r="B213" s="24" t="s">
        <v>63</v>
      </c>
      <c r="C213" s="25">
        <v>10.169490000000001</v>
      </c>
      <c r="D213" s="25">
        <f t="shared" si="11"/>
        <v>14.237286000000001</v>
      </c>
    </row>
    <row r="214" spans="1:4" s="3" customFormat="1" ht="41.25" customHeight="1" x14ac:dyDescent="0.4">
      <c r="A214" s="23">
        <v>17337</v>
      </c>
      <c r="B214" s="24" t="s">
        <v>193</v>
      </c>
      <c r="C214" s="25">
        <v>30</v>
      </c>
      <c r="D214" s="25">
        <f t="shared" si="11"/>
        <v>42</v>
      </c>
    </row>
    <row r="215" spans="1:4" s="3" customFormat="1" ht="41.25" customHeight="1" x14ac:dyDescent="0.4">
      <c r="A215" s="23">
        <v>17338</v>
      </c>
      <c r="B215" s="24" t="s">
        <v>136</v>
      </c>
      <c r="C215" s="25">
        <v>2.5423725000000004</v>
      </c>
      <c r="D215" s="25">
        <f t="shared" si="11"/>
        <v>3.5593215000000002</v>
      </c>
    </row>
    <row r="216" spans="1:4" s="4" customFormat="1" ht="41.25" customHeight="1" x14ac:dyDescent="0.4">
      <c r="A216" s="23">
        <v>17360</v>
      </c>
      <c r="B216" s="24" t="s">
        <v>56</v>
      </c>
      <c r="C216" s="25">
        <v>11.5</v>
      </c>
      <c r="D216" s="25">
        <f t="shared" si="11"/>
        <v>16.099999999999998</v>
      </c>
    </row>
    <row r="217" spans="1:4" ht="41.25" customHeight="1" x14ac:dyDescent="0.4">
      <c r="A217" s="23">
        <v>17425</v>
      </c>
      <c r="B217" s="24" t="s">
        <v>43</v>
      </c>
      <c r="C217" s="25">
        <v>8.644066500000001</v>
      </c>
      <c r="D217" s="25">
        <f t="shared" si="11"/>
        <v>12.1016931</v>
      </c>
    </row>
    <row r="218" spans="1:4" ht="41.25" customHeight="1" x14ac:dyDescent="0.4">
      <c r="A218" s="23">
        <v>17457</v>
      </c>
      <c r="B218" s="24" t="s">
        <v>58</v>
      </c>
      <c r="C218" s="25">
        <v>22.372878000000004</v>
      </c>
      <c r="D218" s="25">
        <f t="shared" si="11"/>
        <v>31.322029200000003</v>
      </c>
    </row>
    <row r="219" spans="1:4" ht="41.25" customHeight="1" x14ac:dyDescent="0.4">
      <c r="A219" s="23">
        <v>17850</v>
      </c>
      <c r="B219" s="24" t="s">
        <v>204</v>
      </c>
      <c r="C219" s="25">
        <v>15.2</v>
      </c>
      <c r="D219" s="25">
        <f t="shared" si="11"/>
        <v>21.279999999999998</v>
      </c>
    </row>
    <row r="220" spans="1:4" s="3" customFormat="1" ht="41.25" customHeight="1" x14ac:dyDescent="0.4">
      <c r="A220" s="23">
        <v>17863</v>
      </c>
      <c r="B220" s="24" t="s">
        <v>5</v>
      </c>
      <c r="C220" s="25">
        <v>19.322031000000003</v>
      </c>
      <c r="D220" s="25">
        <f t="shared" si="11"/>
        <v>27.050843400000002</v>
      </c>
    </row>
    <row r="221" spans="1:4" ht="41.25" customHeight="1" x14ac:dyDescent="0.4">
      <c r="A221" s="23">
        <v>17999</v>
      </c>
      <c r="B221" s="24" t="s">
        <v>64</v>
      </c>
      <c r="C221" s="25">
        <v>10.169490000000001</v>
      </c>
      <c r="D221" s="25">
        <f t="shared" si="11"/>
        <v>14.237286000000001</v>
      </c>
    </row>
    <row r="222" spans="1:4" ht="41.25" customHeight="1" x14ac:dyDescent="0.4">
      <c r="A222" s="23">
        <v>18000</v>
      </c>
      <c r="B222" s="24" t="s">
        <v>123</v>
      </c>
      <c r="C222" s="25">
        <v>9.1525410000000011</v>
      </c>
      <c r="D222" s="25">
        <f t="shared" si="11"/>
        <v>12.813557400000001</v>
      </c>
    </row>
    <row r="223" spans="1:4" ht="41.25" customHeight="1" x14ac:dyDescent="0.4">
      <c r="A223" s="23">
        <v>18176</v>
      </c>
      <c r="B223" s="24" t="s">
        <v>170</v>
      </c>
      <c r="C223" s="25">
        <v>13.5</v>
      </c>
      <c r="D223" s="25">
        <f t="shared" si="11"/>
        <v>18.899999999999999</v>
      </c>
    </row>
    <row r="224" spans="1:4" ht="41.25" customHeight="1" x14ac:dyDescent="0.4">
      <c r="A224" s="23">
        <v>18177</v>
      </c>
      <c r="B224" s="24" t="s">
        <v>171</v>
      </c>
      <c r="C224" s="25">
        <v>13.2</v>
      </c>
      <c r="D224" s="25">
        <f t="shared" si="11"/>
        <v>18.479999999999997</v>
      </c>
    </row>
    <row r="225" spans="1:4" ht="41.25" customHeight="1" x14ac:dyDescent="0.4">
      <c r="A225" s="23">
        <v>18207</v>
      </c>
      <c r="B225" s="24" t="s">
        <v>79</v>
      </c>
      <c r="C225" s="25">
        <v>30.508470000000003</v>
      </c>
      <c r="D225" s="25">
        <f t="shared" si="11"/>
        <v>42.711857999999999</v>
      </c>
    </row>
    <row r="226" spans="1:4" ht="41.25" customHeight="1" x14ac:dyDescent="0.4">
      <c r="A226" s="23">
        <v>18335</v>
      </c>
      <c r="B226" s="24" t="s">
        <v>53</v>
      </c>
      <c r="C226" s="25">
        <v>12.203388</v>
      </c>
      <c r="D226" s="25">
        <f t="shared" si="11"/>
        <v>17.084743199999998</v>
      </c>
    </row>
    <row r="227" spans="1:4" ht="41.25" customHeight="1" x14ac:dyDescent="0.4">
      <c r="A227" s="23">
        <v>18433</v>
      </c>
      <c r="B227" s="24" t="s">
        <v>166</v>
      </c>
      <c r="C227" s="25">
        <v>8.77</v>
      </c>
      <c r="D227" s="25">
        <f t="shared" si="11"/>
        <v>12.277999999999999</v>
      </c>
    </row>
    <row r="228" spans="1:4" ht="41.25" customHeight="1" x14ac:dyDescent="0.4">
      <c r="A228" s="23">
        <v>18479</v>
      </c>
      <c r="B228" s="24" t="s">
        <v>62</v>
      </c>
      <c r="C228" s="25">
        <v>15.254235000000001</v>
      </c>
      <c r="D228" s="25">
        <f t="shared" si="11"/>
        <v>21.355929</v>
      </c>
    </row>
    <row r="229" spans="1:4" ht="41.25" customHeight="1" x14ac:dyDescent="0.4">
      <c r="A229" s="23">
        <v>18555</v>
      </c>
      <c r="B229" s="24" t="s">
        <v>158</v>
      </c>
      <c r="C229" s="25">
        <v>9.1525410000000011</v>
      </c>
      <c r="D229" s="25">
        <f t="shared" si="11"/>
        <v>12.813557400000001</v>
      </c>
    </row>
    <row r="230" spans="1:4" ht="41.25" customHeight="1" x14ac:dyDescent="0.4">
      <c r="A230" s="23">
        <v>18568</v>
      </c>
      <c r="B230" s="24" t="s">
        <v>118</v>
      </c>
      <c r="C230" s="25">
        <v>21.355929000000003</v>
      </c>
      <c r="D230" s="25">
        <f t="shared" si="11"/>
        <v>29.898300600000002</v>
      </c>
    </row>
    <row r="231" spans="1:4" ht="41.25" customHeight="1" x14ac:dyDescent="0.4">
      <c r="A231" s="23">
        <v>18569</v>
      </c>
      <c r="B231" s="24" t="s">
        <v>68</v>
      </c>
      <c r="C231" s="25">
        <v>21.36</v>
      </c>
      <c r="D231" s="25">
        <f t="shared" si="11"/>
        <v>29.903999999999996</v>
      </c>
    </row>
    <row r="232" spans="1:4" ht="41.25" customHeight="1" x14ac:dyDescent="0.4">
      <c r="A232" s="23">
        <v>18962</v>
      </c>
      <c r="B232" s="24" t="s">
        <v>69</v>
      </c>
      <c r="C232" s="25">
        <v>19.239999999999998</v>
      </c>
      <c r="D232" s="25">
        <f t="shared" si="11"/>
        <v>26.935999999999996</v>
      </c>
    </row>
    <row r="233" spans="1:4" ht="41.25" customHeight="1" x14ac:dyDescent="0.4">
      <c r="A233" s="23">
        <v>18963</v>
      </c>
      <c r="B233" s="24" t="s">
        <v>70</v>
      </c>
      <c r="C233" s="25">
        <v>8.1355920000000008</v>
      </c>
      <c r="D233" s="25">
        <f t="shared" si="11"/>
        <v>11.3898288</v>
      </c>
    </row>
    <row r="234" spans="1:4" ht="41.25" customHeight="1" x14ac:dyDescent="0.4">
      <c r="A234" s="23">
        <v>19014</v>
      </c>
      <c r="B234" s="24" t="s">
        <v>242</v>
      </c>
      <c r="C234" s="25">
        <v>19.32</v>
      </c>
      <c r="D234" s="25">
        <f t="shared" si="11"/>
        <v>27.047999999999998</v>
      </c>
    </row>
    <row r="235" spans="1:4" ht="41.25" customHeight="1" x14ac:dyDescent="0.4">
      <c r="A235" s="23">
        <v>19078</v>
      </c>
      <c r="B235" s="24" t="s">
        <v>254</v>
      </c>
      <c r="C235" s="25">
        <v>11</v>
      </c>
      <c r="D235" s="25">
        <f t="shared" si="11"/>
        <v>15.399999999999999</v>
      </c>
    </row>
    <row r="236" spans="1:4" s="3" customFormat="1" ht="41.25" customHeight="1" x14ac:dyDescent="0.4">
      <c r="A236" s="23">
        <v>19079</v>
      </c>
      <c r="B236" s="26" t="s">
        <v>188</v>
      </c>
      <c r="C236" s="25">
        <v>11</v>
      </c>
      <c r="D236" s="25">
        <f t="shared" si="11"/>
        <v>15.399999999999999</v>
      </c>
    </row>
    <row r="237" spans="1:4" s="3" customFormat="1" ht="41.25" customHeight="1" x14ac:dyDescent="0.4">
      <c r="A237" s="23">
        <v>19080</v>
      </c>
      <c r="B237" s="26" t="s">
        <v>189</v>
      </c>
      <c r="C237" s="25">
        <v>11</v>
      </c>
      <c r="D237" s="25">
        <f t="shared" si="11"/>
        <v>15.399999999999999</v>
      </c>
    </row>
    <row r="238" spans="1:4" s="3" customFormat="1" ht="41.25" customHeight="1" x14ac:dyDescent="0.4">
      <c r="A238" s="23">
        <v>19081</v>
      </c>
      <c r="B238" s="26" t="s">
        <v>191</v>
      </c>
      <c r="C238" s="25">
        <v>43</v>
      </c>
      <c r="D238" s="25">
        <f t="shared" si="11"/>
        <v>60.199999999999996</v>
      </c>
    </row>
    <row r="239" spans="1:4" s="3" customFormat="1" ht="41.25" customHeight="1" x14ac:dyDescent="0.4">
      <c r="A239" s="23">
        <v>19082</v>
      </c>
      <c r="B239" s="26" t="s">
        <v>190</v>
      </c>
      <c r="C239" s="25">
        <v>43</v>
      </c>
      <c r="D239" s="25">
        <f t="shared" si="11"/>
        <v>60.199999999999996</v>
      </c>
    </row>
    <row r="240" spans="1:4" ht="41.25" customHeight="1" x14ac:dyDescent="0.4">
      <c r="A240" s="23">
        <v>19216</v>
      </c>
      <c r="B240" s="26" t="s">
        <v>82</v>
      </c>
      <c r="C240" s="25">
        <v>16.829999999999998</v>
      </c>
      <c r="D240" s="25">
        <f t="shared" si="11"/>
        <v>23.561999999999998</v>
      </c>
    </row>
    <row r="241" spans="1:4" ht="41.25" customHeight="1" x14ac:dyDescent="0.4">
      <c r="A241" s="23">
        <v>19234</v>
      </c>
      <c r="B241" s="26" t="s">
        <v>83</v>
      </c>
      <c r="C241" s="25">
        <v>16.829999999999998</v>
      </c>
      <c r="D241" s="25">
        <f t="shared" si="11"/>
        <v>23.561999999999998</v>
      </c>
    </row>
    <row r="242" spans="1:4" s="3" customFormat="1" ht="41.25" customHeight="1" x14ac:dyDescent="0.4">
      <c r="A242" s="23">
        <v>19235</v>
      </c>
      <c r="B242" s="26" t="s">
        <v>84</v>
      </c>
      <c r="C242" s="25">
        <v>16.829999999999998</v>
      </c>
      <c r="D242" s="25">
        <f t="shared" si="11"/>
        <v>23.561999999999998</v>
      </c>
    </row>
    <row r="243" spans="1:4" s="3" customFormat="1" ht="41.25" customHeight="1" x14ac:dyDescent="0.4">
      <c r="A243" s="23">
        <v>19237</v>
      </c>
      <c r="B243" s="26" t="s">
        <v>121</v>
      </c>
      <c r="C243" s="25">
        <v>6.94</v>
      </c>
      <c r="D243" s="25">
        <f t="shared" si="11"/>
        <v>9.7159999999999993</v>
      </c>
    </row>
    <row r="244" spans="1:4" s="3" customFormat="1" ht="41.25" customHeight="1" x14ac:dyDescent="0.4">
      <c r="A244" s="23">
        <v>19254</v>
      </c>
      <c r="B244" s="26" t="s">
        <v>147</v>
      </c>
      <c r="C244" s="25">
        <v>16.7796585</v>
      </c>
      <c r="D244" s="25">
        <f t="shared" si="11"/>
        <v>23.491521899999999</v>
      </c>
    </row>
    <row r="245" spans="1:4" s="3" customFormat="1" ht="41.25" customHeight="1" x14ac:dyDescent="0.4">
      <c r="A245" s="23">
        <v>19320</v>
      </c>
      <c r="B245" s="26" t="s">
        <v>168</v>
      </c>
      <c r="C245" s="25">
        <v>20.52</v>
      </c>
      <c r="D245" s="25">
        <f t="shared" si="11"/>
        <v>28.727999999999998</v>
      </c>
    </row>
    <row r="246" spans="1:4" s="3" customFormat="1" ht="41.25" customHeight="1" x14ac:dyDescent="0.4">
      <c r="A246" s="23">
        <v>19324</v>
      </c>
      <c r="B246" s="26" t="s">
        <v>225</v>
      </c>
      <c r="C246" s="25">
        <v>13.5</v>
      </c>
      <c r="D246" s="25">
        <f t="shared" si="11"/>
        <v>18.899999999999999</v>
      </c>
    </row>
    <row r="247" spans="1:4" s="3" customFormat="1" ht="41.25" customHeight="1" x14ac:dyDescent="0.4">
      <c r="A247" s="23">
        <v>19360</v>
      </c>
      <c r="B247" s="26" t="s">
        <v>246</v>
      </c>
      <c r="C247" s="25">
        <v>25.5</v>
      </c>
      <c r="D247" s="25">
        <f t="shared" si="11"/>
        <v>35.699999999999996</v>
      </c>
    </row>
    <row r="248" spans="1:4" s="3" customFormat="1" ht="41.25" customHeight="1" x14ac:dyDescent="0.4">
      <c r="A248" s="23">
        <v>19364</v>
      </c>
      <c r="B248" s="26" t="s">
        <v>245</v>
      </c>
      <c r="C248" s="25">
        <v>21.5</v>
      </c>
      <c r="D248" s="25">
        <f t="shared" si="11"/>
        <v>30.099999999999998</v>
      </c>
    </row>
    <row r="249" spans="1:4" s="3" customFormat="1" ht="41.25" customHeight="1" x14ac:dyDescent="0.4">
      <c r="A249" s="23">
        <v>19365</v>
      </c>
      <c r="B249" s="26" t="s">
        <v>243</v>
      </c>
      <c r="C249" s="25">
        <v>29.5</v>
      </c>
      <c r="D249" s="25">
        <f t="shared" si="11"/>
        <v>41.3</v>
      </c>
    </row>
    <row r="250" spans="1:4" s="3" customFormat="1" ht="41.25" customHeight="1" x14ac:dyDescent="0.4">
      <c r="A250" s="23">
        <v>19368</v>
      </c>
      <c r="B250" s="26" t="s">
        <v>244</v>
      </c>
      <c r="C250" s="25">
        <v>28.47</v>
      </c>
      <c r="D250" s="25">
        <f t="shared" si="11"/>
        <v>39.857999999999997</v>
      </c>
    </row>
    <row r="251" spans="1:4" s="3" customFormat="1" ht="41.25" customHeight="1" x14ac:dyDescent="0.4">
      <c r="A251" s="23">
        <v>19369</v>
      </c>
      <c r="B251" s="26" t="s">
        <v>250</v>
      </c>
      <c r="C251" s="25">
        <v>16.5</v>
      </c>
      <c r="D251" s="25">
        <f t="shared" si="11"/>
        <v>23.099999999999998</v>
      </c>
    </row>
    <row r="252" spans="1:4" s="3" customFormat="1" ht="41.25" customHeight="1" x14ac:dyDescent="0.4">
      <c r="A252" s="23">
        <v>19549</v>
      </c>
      <c r="B252" s="26" t="s">
        <v>135</v>
      </c>
      <c r="C252" s="25">
        <v>13.728811500000001</v>
      </c>
      <c r="D252" s="25">
        <f t="shared" si="11"/>
        <v>19.220336100000001</v>
      </c>
    </row>
    <row r="253" spans="1:4" s="3" customFormat="1" ht="41.25" customHeight="1" x14ac:dyDescent="0.4">
      <c r="A253" s="23">
        <v>19641</v>
      </c>
      <c r="B253" s="26" t="s">
        <v>191</v>
      </c>
      <c r="C253" s="25">
        <v>54</v>
      </c>
      <c r="D253" s="25">
        <f t="shared" si="11"/>
        <v>75.599999999999994</v>
      </c>
    </row>
    <row r="254" spans="1:4" s="3" customFormat="1" ht="41.25" customHeight="1" x14ac:dyDescent="0.4">
      <c r="A254" s="23">
        <v>19642</v>
      </c>
      <c r="B254" s="26" t="s">
        <v>187</v>
      </c>
      <c r="C254" s="25">
        <v>54</v>
      </c>
      <c r="D254" s="25">
        <f t="shared" si="11"/>
        <v>75.599999999999994</v>
      </c>
    </row>
    <row r="255" spans="1:4" s="3" customFormat="1" ht="41.25" customHeight="1" x14ac:dyDescent="0.4">
      <c r="A255" s="23">
        <v>19789</v>
      </c>
      <c r="B255" s="26" t="s">
        <v>275</v>
      </c>
      <c r="C255" s="25">
        <v>17.5</v>
      </c>
      <c r="D255" s="25">
        <f t="shared" si="11"/>
        <v>24.5</v>
      </c>
    </row>
    <row r="256" spans="1:4" s="3" customFormat="1" ht="41.25" customHeight="1" x14ac:dyDescent="0.4">
      <c r="A256" s="23">
        <v>19813</v>
      </c>
      <c r="B256" s="26" t="s">
        <v>247</v>
      </c>
      <c r="C256" s="25">
        <v>38.5</v>
      </c>
      <c r="D256" s="25">
        <f t="shared" si="11"/>
        <v>53.9</v>
      </c>
    </row>
    <row r="257" spans="1:4" s="3" customFormat="1" ht="41.25" customHeight="1" x14ac:dyDescent="0.4">
      <c r="A257" s="23">
        <v>19831</v>
      </c>
      <c r="B257" s="26" t="s">
        <v>197</v>
      </c>
      <c r="C257" s="25">
        <v>58</v>
      </c>
      <c r="D257" s="25">
        <f t="shared" si="11"/>
        <v>81.199999999999989</v>
      </c>
    </row>
    <row r="258" spans="1:4" s="3" customFormat="1" ht="41.25" customHeight="1" x14ac:dyDescent="0.4">
      <c r="A258" s="14">
        <v>19893</v>
      </c>
      <c r="B258" s="15" t="s">
        <v>149</v>
      </c>
      <c r="C258" s="38">
        <v>345</v>
      </c>
      <c r="D258" s="38">
        <f>C258*1.6</f>
        <v>552</v>
      </c>
    </row>
    <row r="259" spans="1:4" s="3" customFormat="1" ht="41.25" customHeight="1" x14ac:dyDescent="0.4">
      <c r="A259" s="14">
        <v>19894</v>
      </c>
      <c r="B259" s="15" t="s">
        <v>150</v>
      </c>
      <c r="C259" s="38">
        <v>365</v>
      </c>
      <c r="D259" s="38">
        <f t="shared" ref="D259:D260" si="12">C259*1.6</f>
        <v>584</v>
      </c>
    </row>
    <row r="260" spans="1:4" s="3" customFormat="1" ht="41.25" customHeight="1" x14ac:dyDescent="0.4">
      <c r="A260" s="14">
        <v>19895</v>
      </c>
      <c r="B260" s="15" t="s">
        <v>151</v>
      </c>
      <c r="C260" s="38">
        <v>395</v>
      </c>
      <c r="D260" s="38">
        <f t="shared" si="12"/>
        <v>632</v>
      </c>
    </row>
    <row r="261" spans="1:4" s="3" customFormat="1" ht="41.25" customHeight="1" x14ac:dyDescent="0.4">
      <c r="A261" s="23">
        <v>19896</v>
      </c>
      <c r="B261" s="26" t="s">
        <v>255</v>
      </c>
      <c r="C261" s="25">
        <v>110</v>
      </c>
      <c r="D261" s="25">
        <f>C261*1.4</f>
        <v>154</v>
      </c>
    </row>
    <row r="262" spans="1:4" s="3" customFormat="1" ht="41.25" customHeight="1" x14ac:dyDescent="0.4">
      <c r="A262" s="23">
        <v>19921</v>
      </c>
      <c r="B262" s="26" t="s">
        <v>159</v>
      </c>
      <c r="C262" s="25">
        <v>227.79657600000002</v>
      </c>
      <c r="D262" s="25">
        <f>C262*1.4</f>
        <v>318.91520639999999</v>
      </c>
    </row>
    <row r="263" spans="1:4" s="3" customFormat="1" ht="41.25" customHeight="1" x14ac:dyDescent="0.4">
      <c r="A263" s="23">
        <v>19939</v>
      </c>
      <c r="B263" s="26" t="s">
        <v>229</v>
      </c>
      <c r="C263" s="25">
        <v>64</v>
      </c>
      <c r="D263" s="25">
        <f t="shared" ref="D263:D264" si="13">C263*1.4</f>
        <v>89.6</v>
      </c>
    </row>
    <row r="264" spans="1:4" s="3" customFormat="1" ht="41.25" customHeight="1" x14ac:dyDescent="0.4">
      <c r="A264" s="23">
        <v>19940</v>
      </c>
      <c r="B264" s="26" t="s">
        <v>222</v>
      </c>
      <c r="C264" s="25">
        <v>63</v>
      </c>
      <c r="D264" s="25">
        <f t="shared" si="13"/>
        <v>88.199999999999989</v>
      </c>
    </row>
    <row r="265" spans="1:4" ht="75" customHeight="1" x14ac:dyDescent="0.2"/>
    <row r="266" spans="1:4" ht="42" customHeight="1" x14ac:dyDescent="0.2">
      <c r="A266" s="35" t="s">
        <v>67</v>
      </c>
      <c r="B266" s="36"/>
      <c r="C266" s="36"/>
      <c r="D266" s="36"/>
    </row>
    <row r="267" spans="1:4" s="11" customFormat="1" ht="39.75" customHeight="1" x14ac:dyDescent="0.4">
      <c r="A267" s="10" t="s">
        <v>8</v>
      </c>
      <c r="B267" s="10" t="s">
        <v>7</v>
      </c>
      <c r="C267" s="10" t="s">
        <v>110</v>
      </c>
      <c r="D267" s="10" t="s">
        <v>111</v>
      </c>
    </row>
    <row r="268" spans="1:4" ht="60.75" customHeight="1" x14ac:dyDescent="0.4">
      <c r="A268" s="23">
        <v>11024</v>
      </c>
      <c r="B268" s="26" t="s">
        <v>117</v>
      </c>
      <c r="C268" s="25">
        <v>9.1525410000000011</v>
      </c>
      <c r="D268" s="25">
        <f>C268*1.4</f>
        <v>12.813557400000001</v>
      </c>
    </row>
    <row r="269" spans="1:4" ht="60.75" customHeight="1" x14ac:dyDescent="0.4">
      <c r="A269" s="23">
        <v>11092</v>
      </c>
      <c r="B269" s="26" t="s">
        <v>47</v>
      </c>
      <c r="C269" s="25">
        <v>50.9</v>
      </c>
      <c r="D269" s="25">
        <f t="shared" ref="D269:D287" si="14">C269*1.4</f>
        <v>71.259999999999991</v>
      </c>
    </row>
    <row r="270" spans="1:4" ht="60.75" customHeight="1" x14ac:dyDescent="0.4">
      <c r="A270" s="23">
        <v>11093</v>
      </c>
      <c r="B270" s="26" t="s">
        <v>49</v>
      </c>
      <c r="C270" s="25">
        <v>66.101685000000003</v>
      </c>
      <c r="D270" s="25">
        <f t="shared" si="14"/>
        <v>92.542359000000005</v>
      </c>
    </row>
    <row r="271" spans="1:4" ht="60.75" customHeight="1" x14ac:dyDescent="0.4">
      <c r="A271" s="23">
        <v>11097</v>
      </c>
      <c r="B271" s="26" t="s">
        <v>37</v>
      </c>
      <c r="C271" s="25">
        <v>38.76</v>
      </c>
      <c r="D271" s="25">
        <f t="shared" si="14"/>
        <v>54.263999999999996</v>
      </c>
    </row>
    <row r="272" spans="1:4" ht="60.75" customHeight="1" x14ac:dyDescent="0.4">
      <c r="A272" s="23">
        <v>15099</v>
      </c>
      <c r="B272" s="26" t="s">
        <v>42</v>
      </c>
      <c r="C272" s="25">
        <v>57.66</v>
      </c>
      <c r="D272" s="25">
        <f t="shared" si="14"/>
        <v>80.72399999999999</v>
      </c>
    </row>
    <row r="273" spans="1:4" ht="60.75" customHeight="1" x14ac:dyDescent="0.4">
      <c r="A273" s="23">
        <v>15926</v>
      </c>
      <c r="B273" s="26" t="s">
        <v>3</v>
      </c>
      <c r="C273" s="25">
        <v>7.1186430000000005</v>
      </c>
      <c r="D273" s="25">
        <f t="shared" si="14"/>
        <v>9.9661001999999996</v>
      </c>
    </row>
    <row r="274" spans="1:4" ht="60.75" customHeight="1" x14ac:dyDescent="0.4">
      <c r="A274" s="23">
        <v>16085</v>
      </c>
      <c r="B274" s="26" t="s">
        <v>38</v>
      </c>
      <c r="C274" s="25">
        <v>24.406776000000001</v>
      </c>
      <c r="D274" s="25">
        <f t="shared" si="14"/>
        <v>34.169486399999997</v>
      </c>
    </row>
    <row r="275" spans="1:4" ht="60.75" customHeight="1" x14ac:dyDescent="0.4">
      <c r="A275" s="23">
        <v>16324</v>
      </c>
      <c r="B275" s="26" t="s">
        <v>50</v>
      </c>
      <c r="C275" s="25">
        <v>8.1355920000000008</v>
      </c>
      <c r="D275" s="25">
        <f t="shared" si="14"/>
        <v>11.3898288</v>
      </c>
    </row>
    <row r="276" spans="1:4" ht="60.75" customHeight="1" x14ac:dyDescent="0.4">
      <c r="A276" s="23">
        <v>16347</v>
      </c>
      <c r="B276" s="26" t="s">
        <v>44</v>
      </c>
      <c r="C276" s="25">
        <v>15.254235000000001</v>
      </c>
      <c r="D276" s="25">
        <f t="shared" si="14"/>
        <v>21.355929</v>
      </c>
    </row>
    <row r="277" spans="1:4" ht="60.75" customHeight="1" x14ac:dyDescent="0.4">
      <c r="A277" s="23">
        <v>16458</v>
      </c>
      <c r="B277" s="26" t="s">
        <v>60</v>
      </c>
      <c r="C277" s="25">
        <v>142.37286</v>
      </c>
      <c r="D277" s="25">
        <f t="shared" si="14"/>
        <v>199.32200399999999</v>
      </c>
    </row>
    <row r="278" spans="1:4" ht="60.75" customHeight="1" x14ac:dyDescent="0.4">
      <c r="A278" s="23">
        <v>17188</v>
      </c>
      <c r="B278" s="26" t="s">
        <v>55</v>
      </c>
      <c r="C278" s="25">
        <v>60.18</v>
      </c>
      <c r="D278" s="25">
        <f t="shared" si="14"/>
        <v>84.251999999999995</v>
      </c>
    </row>
    <row r="279" spans="1:4" ht="60.75" customHeight="1" x14ac:dyDescent="0.4">
      <c r="A279" s="23">
        <v>17226</v>
      </c>
      <c r="B279" s="26" t="s">
        <v>46</v>
      </c>
      <c r="C279" s="25">
        <v>96.31</v>
      </c>
      <c r="D279" s="25">
        <f t="shared" si="14"/>
        <v>134.834</v>
      </c>
    </row>
    <row r="280" spans="1:4" s="11" customFormat="1" ht="60.75" customHeight="1" x14ac:dyDescent="0.4">
      <c r="A280" s="23">
        <v>17371</v>
      </c>
      <c r="B280" s="26" t="s">
        <v>51</v>
      </c>
      <c r="C280" s="25">
        <v>34.576266000000004</v>
      </c>
      <c r="D280" s="25">
        <f t="shared" si="14"/>
        <v>48.406772400000001</v>
      </c>
    </row>
    <row r="281" spans="1:4" s="3" customFormat="1" ht="60.75" customHeight="1" x14ac:dyDescent="0.4">
      <c r="A281" s="23">
        <v>17372</v>
      </c>
      <c r="B281" s="26" t="s">
        <v>48</v>
      </c>
      <c r="C281" s="25">
        <v>41.39</v>
      </c>
      <c r="D281" s="25">
        <f t="shared" si="14"/>
        <v>57.945999999999998</v>
      </c>
    </row>
    <row r="282" spans="1:4" s="3" customFormat="1" ht="60.75" customHeight="1" x14ac:dyDescent="0.4">
      <c r="A282" s="23">
        <v>17532</v>
      </c>
      <c r="B282" s="26" t="s">
        <v>73</v>
      </c>
      <c r="C282" s="25">
        <v>50.67</v>
      </c>
      <c r="D282" s="25">
        <f t="shared" si="14"/>
        <v>70.938000000000002</v>
      </c>
    </row>
    <row r="283" spans="1:4" s="3" customFormat="1" ht="60.75" customHeight="1" x14ac:dyDescent="0.4">
      <c r="A283" s="23">
        <v>17542</v>
      </c>
      <c r="B283" s="26" t="s">
        <v>59</v>
      </c>
      <c r="C283" s="25">
        <v>132.20337000000001</v>
      </c>
      <c r="D283" s="25">
        <f t="shared" si="14"/>
        <v>185.08471800000001</v>
      </c>
    </row>
    <row r="284" spans="1:4" ht="60.75" customHeight="1" x14ac:dyDescent="0.4">
      <c r="A284" s="23">
        <v>18475</v>
      </c>
      <c r="B284" s="26" t="s">
        <v>74</v>
      </c>
      <c r="C284" s="25">
        <v>44</v>
      </c>
      <c r="D284" s="25">
        <f t="shared" si="14"/>
        <v>61.599999999999994</v>
      </c>
    </row>
    <row r="285" spans="1:4" ht="60.75" customHeight="1" x14ac:dyDescent="0.4">
      <c r="A285" s="23">
        <v>19214</v>
      </c>
      <c r="B285" s="26" t="s">
        <v>167</v>
      </c>
      <c r="C285" s="25">
        <v>132.11000000000001</v>
      </c>
      <c r="D285" s="25">
        <f t="shared" si="14"/>
        <v>184.95400000000001</v>
      </c>
    </row>
    <row r="286" spans="1:4" ht="60.75" customHeight="1" x14ac:dyDescent="0.4">
      <c r="A286" s="23">
        <v>19596</v>
      </c>
      <c r="B286" s="26" t="s">
        <v>198</v>
      </c>
      <c r="C286" s="25">
        <v>44</v>
      </c>
      <c r="D286" s="25">
        <f t="shared" si="14"/>
        <v>61.599999999999994</v>
      </c>
    </row>
    <row r="287" spans="1:4" ht="60.75" customHeight="1" x14ac:dyDescent="0.4">
      <c r="A287" s="23">
        <v>19941</v>
      </c>
      <c r="B287" s="26" t="s">
        <v>208</v>
      </c>
      <c r="C287" s="25">
        <v>62</v>
      </c>
      <c r="D287" s="25">
        <f t="shared" si="14"/>
        <v>86.8</v>
      </c>
    </row>
    <row r="288" spans="1:4" ht="60.75" customHeight="1" x14ac:dyDescent="0.4">
      <c r="A288" s="8"/>
      <c r="B288" s="9"/>
      <c r="C288" s="13"/>
      <c r="D288" s="13"/>
    </row>
    <row r="291" spans="1:3" ht="29.25" customHeight="1" x14ac:dyDescent="0.4">
      <c r="A291" s="12" t="s">
        <v>180</v>
      </c>
      <c r="B291" s="7"/>
      <c r="C291" s="7"/>
    </row>
    <row r="292" spans="1:3" ht="29.25" customHeight="1" x14ac:dyDescent="0.4">
      <c r="A292" s="18" t="s">
        <v>181</v>
      </c>
      <c r="B292" s="19"/>
      <c r="C292" s="7"/>
    </row>
    <row r="293" spans="1:3" ht="29.25" customHeight="1" x14ac:dyDescent="0.4">
      <c r="A293" s="20" t="s">
        <v>182</v>
      </c>
      <c r="B293" s="21"/>
      <c r="C293" s="7"/>
    </row>
    <row r="294" spans="1:3" ht="29.25" customHeight="1" x14ac:dyDescent="0.4">
      <c r="A294" s="16" t="s">
        <v>179</v>
      </c>
      <c r="B294" s="17"/>
      <c r="C294" s="7"/>
    </row>
  </sheetData>
  <sheetProtection algorithmName="SHA-512" hashValue="BeDnJZLXEGkAXf5CDLF4zlvoTJXT8qSrV0bKTbW2gytNwj8vpCJd22uYtfRXPusnzNt3go6lXcPkByonYVtLAQ==" saltValue="EfySpcuN/NxPsLdfOHoVOQ==" spinCount="100000" sheet="1" objects="1" scenarios="1" selectLockedCells="1" selectUnlockedCells="1"/>
  <mergeCells count="7">
    <mergeCell ref="A266:D266"/>
    <mergeCell ref="A146:D146"/>
    <mergeCell ref="A200:D200"/>
    <mergeCell ref="A2:D2"/>
    <mergeCell ref="A5:D5"/>
    <mergeCell ref="A87:D87"/>
    <mergeCell ref="A45:D45"/>
  </mergeCells>
  <phoneticPr fontId="14" type="noConversion"/>
  <printOptions horizontalCentered="1"/>
  <pageMargins left="0" right="0" top="0.59055118110236227" bottom="0.39370078740157483" header="0" footer="0"/>
  <pageSetup paperSize="9" scale="27" fitToWidth="4" fitToHeight="4" orientation="portrait" horizontalDpi="120" verticalDpi="144" r:id="rId1"/>
  <rowBreaks count="5" manualBreakCount="5">
    <brk id="43" max="3" man="1"/>
    <brk id="85" max="3" man="1"/>
    <brk id="144" max="3" man="1"/>
    <brk id="198" max="3" man="1"/>
    <brk id="264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GÜRBÜZ POLAT</dc:creator>
  <cp:lastModifiedBy>ERSİN BURHAN GÜLAÇAR</cp:lastModifiedBy>
  <cp:lastPrinted>2025-10-06T12:19:40Z</cp:lastPrinted>
  <dcterms:created xsi:type="dcterms:W3CDTF">2013-04-16T09:39:38Z</dcterms:created>
  <dcterms:modified xsi:type="dcterms:W3CDTF">2025-12-26T08:02:42Z</dcterms:modified>
</cp:coreProperties>
</file>