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FİYAT LİSTELERİ\GÜRAL FİYAT LİSTELERİ\"/>
    </mc:Choice>
  </mc:AlternateContent>
  <xr:revisionPtr revIDLastSave="0" documentId="13_ncr:1_{9721B793-A77E-4690-AAE0-AC88ADE5EA5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</sheets>
  <definedNames>
    <definedName name="_xlnm.Print_Area" localSheetId="0">Sayfa1!$A$1:$D$57</definedName>
  </definedNames>
  <calcPr calcId="181029"/>
</workbook>
</file>

<file path=xl/calcChain.xml><?xml version="1.0" encoding="utf-8"?>
<calcChain xmlns="http://schemas.openxmlformats.org/spreadsheetml/2006/main">
  <c r="D49" i="1" l="1"/>
  <c r="D22" i="1"/>
  <c r="D26" i="1"/>
  <c r="D24" i="1"/>
  <c r="D8" i="1"/>
  <c r="D33" i="1"/>
  <c r="D44" i="1"/>
  <c r="D18" i="1"/>
  <c r="D15" i="1"/>
  <c r="D14" i="1"/>
  <c r="D13" i="1"/>
  <c r="D35" i="1"/>
  <c r="D46" i="1"/>
  <c r="D47" i="1"/>
  <c r="D48" i="1"/>
  <c r="D45" i="1"/>
  <c r="D43" i="1"/>
  <c r="D42" i="1"/>
  <c r="D51" i="1"/>
  <c r="D36" i="1"/>
  <c r="D41" i="1"/>
  <c r="D38" i="1"/>
  <c r="D39" i="1"/>
  <c r="D40" i="1"/>
  <c r="D50" i="1"/>
  <c r="D37" i="1"/>
  <c r="D34" i="1"/>
  <c r="D25" i="1"/>
  <c r="D27" i="1"/>
  <c r="D12" i="1"/>
  <c r="D28" i="1"/>
  <c r="D9" i="1"/>
  <c r="D10" i="1"/>
  <c r="D11" i="1"/>
  <c r="D20" i="1"/>
  <c r="D21" i="1"/>
  <c r="D17" i="1"/>
  <c r="D16" i="1"/>
  <c r="D19" i="1"/>
  <c r="D29" i="1"/>
  <c r="D23" i="1"/>
</calcChain>
</file>

<file path=xl/sharedStrings.xml><?xml version="1.0" encoding="utf-8"?>
<sst xmlns="http://schemas.openxmlformats.org/spreadsheetml/2006/main" count="53" uniqueCount="50">
  <si>
    <t>ÜRÜN AÇIKLAMASI</t>
  </si>
  <si>
    <t>ÇİFTLİ ATIŞ GALERİ HEDEFLİK</t>
  </si>
  <si>
    <t>KNOCKDOWN HEDEFLİK</t>
  </si>
  <si>
    <t>DÖRTLÜ ATIŞ GALERİ HEDEFLİK</t>
  </si>
  <si>
    <t>AKSESUARLAR</t>
  </si>
  <si>
    <t>TABANCA ve TÜFEKLER</t>
  </si>
  <si>
    <t>1911 HAVALI TABANCA YEDEK ŞARJÖRÜ (2'Lİ)</t>
  </si>
  <si>
    <t>P320 HAVALI TABANCA ŞARJÖRÜ (2'Lİ)</t>
  </si>
  <si>
    <t>ÇİFT DÖNMELİ HEDEFLİK</t>
  </si>
  <si>
    <t>TEXAS YILDIZI HEDEFLİK</t>
  </si>
  <si>
    <t>AUTO RESET HEDEFLİK</t>
  </si>
  <si>
    <t>CO2 TÜP 90 GR</t>
  </si>
  <si>
    <t>TOPTAN $</t>
  </si>
  <si>
    <t>M17 TABANCA ŞARJÖRÜ ŞERİT (2'Lİ)</t>
  </si>
  <si>
    <t>M17 TABANCA ŞARJÖRÜ KOMPLE</t>
  </si>
  <si>
    <t>PERAKENDE $</t>
  </si>
  <si>
    <t>1911 WE THE PEOPLE ŞARJÖRÜ</t>
  </si>
  <si>
    <t>X5 TABANCA ŞARJÖRÜ (2'Lİ)</t>
  </si>
  <si>
    <t>P365 HAVALI TABANCA ŞARJÖRÜ</t>
  </si>
  <si>
    <t>P226 HAVALI TABANCA (SİYAH)</t>
  </si>
  <si>
    <t>P320 HAVALI TABANCA (SİYAH-ÇÖL)</t>
  </si>
  <si>
    <t>P365 HAVALI TABANCA (SİYAH)</t>
  </si>
  <si>
    <t>M17 HAVALI TABANCA (ÇÖL)</t>
  </si>
  <si>
    <t>X5 HAVALI TABANCA (SİYAH-KROM)</t>
  </si>
  <si>
    <t>1911 MAX MICHEL HAVALI TABANCA</t>
  </si>
  <si>
    <t>1911 SPARTAN HAVALI TABANCA</t>
  </si>
  <si>
    <t>1911 WE THE PEOPLE HAVALI TABANCA</t>
  </si>
  <si>
    <t>MPX HAVALI TÜFEK (SİYAH-ÇÖL)</t>
  </si>
  <si>
    <t>MPX RED DOT HAVALI TÜFEK (SİYAH-ÇÖL)</t>
  </si>
  <si>
    <t>MCX HAVALI TÜFEK (SİYAH-ÇÖL)</t>
  </si>
  <si>
    <t>MCX RED DOT HAVALI TÜFEK (SİYAH-ÇÖL)</t>
  </si>
  <si>
    <t>VIRTUS PCP TÜFEK</t>
  </si>
  <si>
    <t>MCX GEN 2 HAVALI TÜFEK (SİYAH)</t>
  </si>
  <si>
    <t>SIG SAUER HAVALI FİYAT LİSTESİ</t>
  </si>
  <si>
    <t>MCX CANEBRAKE HAVALI TÜFEK (SİYAH-ÇÖL)</t>
  </si>
  <si>
    <t>* FİYATLARIMIZA KDV DAHİLDİR.</t>
  </si>
  <si>
    <t>* YEŞİL İLE İŞARETLİ ÜRÜNLER YENİ ÜRÜNLERDİR.</t>
  </si>
  <si>
    <t>* SARI İLE İŞARETLİ ÜRÜNLER, BİR ÖNCEKİ LİSTEYE GÖRE ZAMLANAN ÜRÜNLERDİR.</t>
  </si>
  <si>
    <t>MCX DÜRBÜNLÜ (1-4X24) HAVALI TÜFEK (ÇÖL)</t>
  </si>
  <si>
    <t>MCX GEN 2 DÜRBÜNLÜ (1-4X24) HAVALI TÜFEK (SİYAH)</t>
  </si>
  <si>
    <t>MCX RATTLER HAVALI TABANCA</t>
  </si>
  <si>
    <t>MCX RATTLER HAVALI TABANCA ŞARJÖRÜ</t>
  </si>
  <si>
    <t>1911 EMPEROR HAVALI TABANCA ŞARJÖRÜ</t>
  </si>
  <si>
    <t>1911 EMPEROR HAVALI TABANCA (ÇÖL)</t>
  </si>
  <si>
    <t>P229 RX HAVALI TABANCA (SİYAH)</t>
  </si>
  <si>
    <t>P320 X CARRY HAVALI TABANCA (SİYAH)</t>
  </si>
  <si>
    <t>MPX GEN 2 HAVALI TÜFEK (SİYAH)</t>
  </si>
  <si>
    <t>P226-P229 HAVALI TABANCA ŞARJÖRÜ (2'Lİ)</t>
  </si>
  <si>
    <t>MPX-MCX HAVALI TÜFEK YEDEK ŞARJÖRÜ + 3 ŞERİT</t>
  </si>
  <si>
    <t>RATTLER HAVALI TABANCA ŞARJÖRÜ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</si>
</sst>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₺&quot;_-;\-* #,##0.00\ &quot;₺&quot;_-;_-* &quot;-&quot;??\ &quot;₺&quot;_-;_-@_-"/>
    <numFmt numFmtId="165" formatCode="[$$-409]#,##0.00"/>
    <numFmt numFmtId="166" formatCode="#,##0.00\ &quot;₺&quot;"/>
    <numFmt numFmtId="167" formatCode="#,##0.00\ [$$-C0C]"/>
  </numFmts>
  <fonts count="12" x14ac:knownFonts="1"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2"/>
      <color rgb="FF000000"/>
      <name val="Calibri"/>
      <family val="2"/>
      <charset val="162"/>
    </font>
    <font>
      <b/>
      <sz val="14"/>
      <color theme="1"/>
      <name val="Calibri"/>
      <family val="2"/>
      <charset val="162"/>
      <scheme val="minor"/>
    </font>
    <font>
      <b/>
      <sz val="14"/>
      <color rgb="FF000000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b/>
      <sz val="36"/>
      <color theme="1"/>
      <name val="Calibri"/>
      <family val="2"/>
      <charset val="162"/>
      <scheme val="minor"/>
    </font>
    <font>
      <b/>
      <sz val="22"/>
      <color theme="1"/>
      <name val="Calibri"/>
      <family val="2"/>
      <charset val="162"/>
      <scheme val="minor"/>
    </font>
    <font>
      <sz val="10"/>
      <color theme="1"/>
      <name val="Arial"/>
      <family val="2"/>
      <charset val="162"/>
    </font>
    <font>
      <b/>
      <sz val="10"/>
      <color rgb="FFFF0000"/>
      <name val="Arial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33">
    <xf numFmtId="0" fontId="0" fillId="0" borderId="0" xfId="0"/>
    <xf numFmtId="0" fontId="4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165" fontId="3" fillId="0" borderId="0" xfId="0" applyNumberFormat="1" applyFont="1" applyAlignment="1">
      <alignment horizontal="right"/>
    </xf>
    <xf numFmtId="166" fontId="3" fillId="3" borderId="1" xfId="0" applyNumberFormat="1" applyFont="1" applyFill="1" applyBorder="1" applyAlignment="1">
      <alignment horizontal="center" wrapText="1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0" fontId="2" fillId="2" borderId="0" xfId="0" applyFont="1" applyFill="1" applyAlignment="1">
      <alignment horizontal="left"/>
    </xf>
    <xf numFmtId="165" fontId="1" fillId="0" borderId="0" xfId="0" applyNumberFormat="1" applyFont="1" applyAlignment="1">
      <alignment horizontal="center"/>
    </xf>
    <xf numFmtId="167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164" fontId="9" fillId="0" borderId="0" xfId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164" fontId="10" fillId="4" borderId="0" xfId="1" applyFont="1" applyFill="1" applyBorder="1" applyAlignment="1">
      <alignment vertical="center"/>
    </xf>
    <xf numFmtId="0" fontId="11" fillId="4" borderId="0" xfId="0" applyFont="1" applyFill="1" applyAlignment="1">
      <alignment vertical="center"/>
    </xf>
    <xf numFmtId="164" fontId="10" fillId="5" borderId="0" xfId="1" applyFont="1" applyFill="1" applyBorder="1" applyAlignment="1">
      <alignment vertical="center"/>
    </xf>
    <xf numFmtId="0" fontId="11" fillId="5" borderId="0" xfId="0" applyFont="1" applyFill="1" applyAlignment="1">
      <alignment vertical="center"/>
    </xf>
    <xf numFmtId="0" fontId="8" fillId="4" borderId="0" xfId="0" applyFont="1" applyFill="1" applyAlignment="1">
      <alignment vertical="center"/>
    </xf>
    <xf numFmtId="0" fontId="8" fillId="5" borderId="0" xfId="0" applyFont="1" applyFill="1" applyAlignment="1">
      <alignment vertical="center"/>
    </xf>
    <xf numFmtId="167" fontId="3" fillId="5" borderId="1" xfId="0" applyNumberFormat="1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167" fontId="3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2382</xdr:colOff>
      <xdr:row>0</xdr:row>
      <xdr:rowOff>52389</xdr:rowOff>
    </xdr:from>
    <xdr:to>
      <xdr:col>1</xdr:col>
      <xdr:colOff>690562</xdr:colOff>
      <xdr:row>2</xdr:row>
      <xdr:rowOff>62379</xdr:rowOff>
    </xdr:to>
    <xdr:pic>
      <xdr:nvPicPr>
        <xdr:cNvPr id="2" name="Resim 3" descr="C:\Users\ali\Downloads\Untitled-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2" y="52389"/>
          <a:ext cx="1593055" cy="390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1431790</xdr:colOff>
      <xdr:row>0</xdr:row>
      <xdr:rowOff>47626</xdr:rowOff>
    </xdr:from>
    <xdr:to>
      <xdr:col>4</xdr:col>
      <xdr:colOff>11906</xdr:colOff>
      <xdr:row>2</xdr:row>
      <xdr:rowOff>59532</xdr:rowOff>
    </xdr:to>
    <xdr:pic>
      <xdr:nvPicPr>
        <xdr:cNvPr id="8" name="Resi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94290" y="47626"/>
          <a:ext cx="1830522" cy="392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D57"/>
  <sheetViews>
    <sheetView tabSelected="1" zoomScale="80" zoomScaleNormal="80" workbookViewId="0">
      <selection activeCell="C28" sqref="C28"/>
    </sheetView>
  </sheetViews>
  <sheetFormatPr defaultRowHeight="15" x14ac:dyDescent="0.25"/>
  <cols>
    <col min="1" max="1" width="13.5703125" customWidth="1"/>
    <col min="2" max="2" width="57.85546875" customWidth="1"/>
    <col min="3" max="3" width="25.42578125" customWidth="1"/>
    <col min="4" max="4" width="23.42578125" style="6" customWidth="1"/>
    <col min="5" max="6" width="18.7109375" customWidth="1"/>
    <col min="7" max="7" width="9.140625" customWidth="1"/>
  </cols>
  <sheetData>
    <row r="3" spans="1:4" ht="37.5" customHeight="1" x14ac:dyDescent="0.25"/>
    <row r="4" spans="1:4" ht="39" customHeight="1" x14ac:dyDescent="0.25">
      <c r="A4" s="24" t="s">
        <v>33</v>
      </c>
      <c r="B4" s="24"/>
      <c r="C4" s="24"/>
      <c r="D4" s="24"/>
    </row>
    <row r="5" spans="1:4" ht="23.25" customHeight="1" x14ac:dyDescent="0.25">
      <c r="A5" s="10"/>
      <c r="B5" s="10"/>
      <c r="C5" s="10"/>
    </row>
    <row r="6" spans="1:4" ht="28.5" customHeight="1" x14ac:dyDescent="0.45">
      <c r="A6" s="20" t="s">
        <v>5</v>
      </c>
      <c r="B6" s="21"/>
      <c r="C6" s="21"/>
      <c r="D6" s="21"/>
    </row>
    <row r="7" spans="1:4" ht="21" customHeight="1" x14ac:dyDescent="0.3">
      <c r="A7" s="25" t="s">
        <v>0</v>
      </c>
      <c r="B7" s="25"/>
      <c r="C7" s="2" t="s">
        <v>12</v>
      </c>
      <c r="D7" s="4" t="s">
        <v>15</v>
      </c>
    </row>
    <row r="8" spans="1:4" ht="18.75" x14ac:dyDescent="0.3">
      <c r="A8" s="22" t="s">
        <v>43</v>
      </c>
      <c r="B8" s="22"/>
      <c r="C8" s="9">
        <v>166.77963600000001</v>
      </c>
      <c r="D8" s="9">
        <f t="shared" ref="D8" si="0">C8*1.25</f>
        <v>208.47454500000001</v>
      </c>
    </row>
    <row r="9" spans="1:4" ht="18.75" x14ac:dyDescent="0.3">
      <c r="A9" s="22" t="s">
        <v>24</v>
      </c>
      <c r="B9" s="22"/>
      <c r="C9" s="9">
        <v>130.16947200000001</v>
      </c>
      <c r="D9" s="9">
        <f t="shared" ref="D9:D24" si="1">C9*1.25</f>
        <v>162.71184000000002</v>
      </c>
    </row>
    <row r="10" spans="1:4" ht="18.75" x14ac:dyDescent="0.3">
      <c r="A10" s="22" t="s">
        <v>25</v>
      </c>
      <c r="B10" s="22"/>
      <c r="C10" s="9">
        <v>142.37286</v>
      </c>
      <c r="D10" s="9">
        <f t="shared" si="1"/>
        <v>177.96607499999999</v>
      </c>
    </row>
    <row r="11" spans="1:4" ht="18.75" x14ac:dyDescent="0.3">
      <c r="A11" s="22" t="s">
        <v>26</v>
      </c>
      <c r="B11" s="22"/>
      <c r="C11" s="9">
        <v>166.77963600000001</v>
      </c>
      <c r="D11" s="9">
        <f t="shared" si="1"/>
        <v>208.47454500000001</v>
      </c>
    </row>
    <row r="12" spans="1:4" ht="18.75" x14ac:dyDescent="0.3">
      <c r="A12" s="22" t="s">
        <v>22</v>
      </c>
      <c r="B12" s="22"/>
      <c r="C12" s="9">
        <v>199.32200400000002</v>
      </c>
      <c r="D12" s="9">
        <f t="shared" si="1"/>
        <v>249.15250500000002</v>
      </c>
    </row>
    <row r="13" spans="1:4" ht="18.75" x14ac:dyDescent="0.3">
      <c r="A13" s="23" t="s">
        <v>34</v>
      </c>
      <c r="B13" s="23"/>
      <c r="C13" s="9">
        <v>306</v>
      </c>
      <c r="D13" s="9">
        <f t="shared" si="1"/>
        <v>382.5</v>
      </c>
    </row>
    <row r="14" spans="1:4" ht="18.75" x14ac:dyDescent="0.3">
      <c r="A14" s="23" t="s">
        <v>38</v>
      </c>
      <c r="B14" s="23"/>
      <c r="C14" s="9">
        <v>373</v>
      </c>
      <c r="D14" s="9">
        <f t="shared" si="1"/>
        <v>466.25</v>
      </c>
    </row>
    <row r="15" spans="1:4" ht="18.75" x14ac:dyDescent="0.3">
      <c r="A15" s="23" t="s">
        <v>39</v>
      </c>
      <c r="B15" s="23"/>
      <c r="C15" s="9">
        <v>308</v>
      </c>
      <c r="D15" s="9">
        <f t="shared" si="1"/>
        <v>385</v>
      </c>
    </row>
    <row r="16" spans="1:4" ht="18.75" x14ac:dyDescent="0.3">
      <c r="A16" s="23" t="s">
        <v>32</v>
      </c>
      <c r="B16" s="23"/>
      <c r="C16" s="9">
        <v>289</v>
      </c>
      <c r="D16" s="9">
        <f t="shared" si="1"/>
        <v>361.25</v>
      </c>
    </row>
    <row r="17" spans="1:4" ht="18.75" x14ac:dyDescent="0.3">
      <c r="A17" s="23" t="s">
        <v>29</v>
      </c>
      <c r="B17" s="23"/>
      <c r="C17" s="9">
        <v>304.06775100000004</v>
      </c>
      <c r="D17" s="9">
        <f t="shared" si="1"/>
        <v>380.08468875000005</v>
      </c>
    </row>
    <row r="18" spans="1:4" ht="18.75" x14ac:dyDescent="0.3">
      <c r="A18" s="28" t="s">
        <v>40</v>
      </c>
      <c r="B18" s="29"/>
      <c r="C18" s="30">
        <v>249</v>
      </c>
      <c r="D18" s="30">
        <f t="shared" si="1"/>
        <v>311.25</v>
      </c>
    </row>
    <row r="19" spans="1:4" ht="18.75" x14ac:dyDescent="0.3">
      <c r="A19" s="31" t="s">
        <v>30</v>
      </c>
      <c r="B19" s="31"/>
      <c r="C19" s="30">
        <v>358</v>
      </c>
      <c r="D19" s="30">
        <f t="shared" si="1"/>
        <v>447.5</v>
      </c>
    </row>
    <row r="20" spans="1:4" ht="18.75" x14ac:dyDescent="0.3">
      <c r="A20" s="31" t="s">
        <v>27</v>
      </c>
      <c r="B20" s="31"/>
      <c r="C20" s="30">
        <v>276.61012800000003</v>
      </c>
      <c r="D20" s="30">
        <f t="shared" si="1"/>
        <v>345.76266000000004</v>
      </c>
    </row>
    <row r="21" spans="1:4" ht="18.75" x14ac:dyDescent="0.3">
      <c r="A21" s="31" t="s">
        <v>28</v>
      </c>
      <c r="B21" s="31"/>
      <c r="C21" s="30">
        <v>332.54232300000001</v>
      </c>
      <c r="D21" s="30">
        <f t="shared" si="1"/>
        <v>415.67790375000004</v>
      </c>
    </row>
    <row r="22" spans="1:4" ht="18.75" x14ac:dyDescent="0.3">
      <c r="A22" s="31" t="s">
        <v>46</v>
      </c>
      <c r="B22" s="31"/>
      <c r="C22" s="30">
        <v>289</v>
      </c>
      <c r="D22" s="30">
        <f t="shared" ref="D22" si="2">C22*1.25</f>
        <v>361.25</v>
      </c>
    </row>
    <row r="23" spans="1:4" ht="18.75" x14ac:dyDescent="0.3">
      <c r="A23" s="31" t="s">
        <v>19</v>
      </c>
      <c r="B23" s="31"/>
      <c r="C23" s="30">
        <v>156.61014600000001</v>
      </c>
      <c r="D23" s="30">
        <f t="shared" si="1"/>
        <v>195.76268250000001</v>
      </c>
    </row>
    <row r="24" spans="1:4" ht="18.75" x14ac:dyDescent="0.3">
      <c r="A24" s="31" t="s">
        <v>44</v>
      </c>
      <c r="B24" s="31"/>
      <c r="C24" s="30">
        <v>168</v>
      </c>
      <c r="D24" s="30">
        <f t="shared" si="1"/>
        <v>210</v>
      </c>
    </row>
    <row r="25" spans="1:4" ht="18.75" x14ac:dyDescent="0.3">
      <c r="A25" s="31" t="s">
        <v>20</v>
      </c>
      <c r="B25" s="31"/>
      <c r="C25" s="30">
        <v>166</v>
      </c>
      <c r="D25" s="30">
        <f t="shared" ref="D25:D29" si="3">C25*1.25</f>
        <v>207.5</v>
      </c>
    </row>
    <row r="26" spans="1:4" ht="18.75" x14ac:dyDescent="0.3">
      <c r="A26" s="31" t="s">
        <v>45</v>
      </c>
      <c r="B26" s="31"/>
      <c r="C26" s="30">
        <v>166</v>
      </c>
      <c r="D26" s="30">
        <f t="shared" ref="D26" si="4">C26*1.25</f>
        <v>207.5</v>
      </c>
    </row>
    <row r="27" spans="1:4" ht="18.75" x14ac:dyDescent="0.3">
      <c r="A27" s="32" t="s">
        <v>21</v>
      </c>
      <c r="B27" s="32"/>
      <c r="C27" s="19">
        <v>139</v>
      </c>
      <c r="D27" s="19">
        <f t="shared" si="3"/>
        <v>173.75</v>
      </c>
    </row>
    <row r="28" spans="1:4" ht="18.75" x14ac:dyDescent="0.3">
      <c r="A28" s="23" t="s">
        <v>23</v>
      </c>
      <c r="B28" s="23"/>
      <c r="C28" s="9">
        <v>197</v>
      </c>
      <c r="D28" s="9">
        <f t="shared" si="3"/>
        <v>246.25</v>
      </c>
    </row>
    <row r="29" spans="1:4" ht="18.75" x14ac:dyDescent="0.3">
      <c r="A29" s="23" t="s">
        <v>31</v>
      </c>
      <c r="B29" s="23"/>
      <c r="C29" s="9">
        <v>442.37281500000006</v>
      </c>
      <c r="D29" s="9">
        <f t="shared" si="3"/>
        <v>552.9660187500001</v>
      </c>
    </row>
    <row r="30" spans="1:4" ht="23.25" customHeight="1" x14ac:dyDescent="0.3">
      <c r="A30" s="1"/>
      <c r="B30" s="1"/>
      <c r="C30" s="3"/>
      <c r="D30" s="5"/>
    </row>
    <row r="31" spans="1:4" ht="29.25" customHeight="1" x14ac:dyDescent="0.45">
      <c r="A31" s="20" t="s">
        <v>4</v>
      </c>
      <c r="B31" s="21"/>
      <c r="C31" s="21"/>
      <c r="D31" s="21"/>
    </row>
    <row r="32" spans="1:4" ht="21" customHeight="1" x14ac:dyDescent="0.3">
      <c r="A32" s="25" t="s">
        <v>0</v>
      </c>
      <c r="B32" s="25"/>
      <c r="C32" s="2" t="s">
        <v>12</v>
      </c>
      <c r="D32" s="4" t="s">
        <v>15</v>
      </c>
    </row>
    <row r="33" spans="1:4" ht="18.75" x14ac:dyDescent="0.3">
      <c r="A33" s="26" t="s">
        <v>42</v>
      </c>
      <c r="B33" s="27"/>
      <c r="C33" s="9">
        <v>47</v>
      </c>
      <c r="D33" s="9">
        <f t="shared" ref="D33:D45" si="5">C33*1.3</f>
        <v>61.1</v>
      </c>
    </row>
    <row r="34" spans="1:4" ht="18.75" x14ac:dyDescent="0.3">
      <c r="A34" s="23" t="s">
        <v>6</v>
      </c>
      <c r="B34" s="23"/>
      <c r="C34" s="9">
        <v>16.7796585</v>
      </c>
      <c r="D34" s="9">
        <f t="shared" si="5"/>
        <v>21.813556050000003</v>
      </c>
    </row>
    <row r="35" spans="1:4" ht="18.75" x14ac:dyDescent="0.3">
      <c r="A35" s="23" t="s">
        <v>16</v>
      </c>
      <c r="B35" s="23"/>
      <c r="C35" s="9">
        <v>33</v>
      </c>
      <c r="D35" s="9">
        <f t="shared" si="5"/>
        <v>42.9</v>
      </c>
    </row>
    <row r="36" spans="1:4" ht="18.75" x14ac:dyDescent="0.3">
      <c r="A36" s="23" t="s">
        <v>10</v>
      </c>
      <c r="B36" s="23"/>
      <c r="C36" s="9">
        <v>25.423725000000001</v>
      </c>
      <c r="D36" s="9">
        <f t="shared" si="5"/>
        <v>33.050842500000002</v>
      </c>
    </row>
    <row r="37" spans="1:4" ht="18.75" x14ac:dyDescent="0.3">
      <c r="A37" s="23" t="s">
        <v>11</v>
      </c>
      <c r="B37" s="23"/>
      <c r="C37" s="9">
        <v>20.135590200000003</v>
      </c>
      <c r="D37" s="9">
        <f t="shared" si="5"/>
        <v>26.176267260000003</v>
      </c>
    </row>
    <row r="38" spans="1:4" ht="18.75" x14ac:dyDescent="0.3">
      <c r="A38" s="23" t="s">
        <v>8</v>
      </c>
      <c r="B38" s="23"/>
      <c r="C38" s="9">
        <v>20.338980000000003</v>
      </c>
      <c r="D38" s="9">
        <f t="shared" si="5"/>
        <v>26.440674000000005</v>
      </c>
    </row>
    <row r="39" spans="1:4" ht="18.75" x14ac:dyDescent="0.3">
      <c r="A39" s="23" t="s">
        <v>1</v>
      </c>
      <c r="B39" s="23"/>
      <c r="C39" s="9">
        <v>46.779654000000008</v>
      </c>
      <c r="D39" s="9">
        <f t="shared" si="5"/>
        <v>60.813550200000009</v>
      </c>
    </row>
    <row r="40" spans="1:4" ht="18.75" x14ac:dyDescent="0.3">
      <c r="A40" s="23" t="s">
        <v>3</v>
      </c>
      <c r="B40" s="23"/>
      <c r="C40" s="9">
        <v>61.016940000000005</v>
      </c>
      <c r="D40" s="9">
        <f t="shared" si="5"/>
        <v>79.322022000000004</v>
      </c>
    </row>
    <row r="41" spans="1:4" ht="18.75" x14ac:dyDescent="0.3">
      <c r="A41" s="23" t="s">
        <v>2</v>
      </c>
      <c r="B41" s="23"/>
      <c r="C41" s="9">
        <v>35.593215000000001</v>
      </c>
      <c r="D41" s="9">
        <f t="shared" si="5"/>
        <v>46.271179500000002</v>
      </c>
    </row>
    <row r="42" spans="1:4" ht="18.75" x14ac:dyDescent="0.3">
      <c r="A42" s="23" t="s">
        <v>14</v>
      </c>
      <c r="B42" s="23"/>
      <c r="C42" s="9">
        <v>33</v>
      </c>
      <c r="D42" s="9">
        <f t="shared" si="5"/>
        <v>42.9</v>
      </c>
    </row>
    <row r="43" spans="1:4" ht="18.75" x14ac:dyDescent="0.3">
      <c r="A43" s="32" t="s">
        <v>13</v>
      </c>
      <c r="B43" s="32"/>
      <c r="C43" s="19">
        <v>19</v>
      </c>
      <c r="D43" s="19">
        <f t="shared" si="5"/>
        <v>24.7</v>
      </c>
    </row>
    <row r="44" spans="1:4" ht="18.75" x14ac:dyDescent="0.3">
      <c r="A44" s="26" t="s">
        <v>41</v>
      </c>
      <c r="B44" s="27"/>
      <c r="C44" s="9">
        <v>50</v>
      </c>
      <c r="D44" s="9">
        <f t="shared" si="5"/>
        <v>65</v>
      </c>
    </row>
    <row r="45" spans="1:4" ht="18.75" x14ac:dyDescent="0.3">
      <c r="A45" s="23" t="s">
        <v>48</v>
      </c>
      <c r="B45" s="23"/>
      <c r="C45" s="9">
        <v>36.610164000000005</v>
      </c>
      <c r="D45" s="9">
        <f t="shared" si="5"/>
        <v>47.593213200000008</v>
      </c>
    </row>
    <row r="46" spans="1:4" ht="18.75" x14ac:dyDescent="0.3">
      <c r="A46" s="23" t="s">
        <v>47</v>
      </c>
      <c r="B46" s="23"/>
      <c r="C46" s="9">
        <v>20.338980000000003</v>
      </c>
      <c r="D46" s="9">
        <f t="shared" ref="D46:D50" si="6">C46*1.3</f>
        <v>26.440674000000005</v>
      </c>
    </row>
    <row r="47" spans="1:4" ht="18.75" x14ac:dyDescent="0.3">
      <c r="A47" s="23" t="s">
        <v>7</v>
      </c>
      <c r="B47" s="23"/>
      <c r="C47" s="9">
        <v>27.457623000000002</v>
      </c>
      <c r="D47" s="9">
        <f t="shared" si="6"/>
        <v>35.694909900000006</v>
      </c>
    </row>
    <row r="48" spans="1:4" ht="18.75" x14ac:dyDescent="0.3">
      <c r="A48" s="23" t="s">
        <v>18</v>
      </c>
      <c r="B48" s="23"/>
      <c r="C48" s="9">
        <v>19.322031000000003</v>
      </c>
      <c r="D48" s="9">
        <f t="shared" si="6"/>
        <v>25.118640300000003</v>
      </c>
    </row>
    <row r="49" spans="1:4" ht="18.75" x14ac:dyDescent="0.3">
      <c r="A49" s="31" t="s">
        <v>49</v>
      </c>
      <c r="B49" s="31"/>
      <c r="C49" s="30">
        <v>50</v>
      </c>
      <c r="D49" s="30">
        <f t="shared" ref="D49" si="7">C49*1.3</f>
        <v>65</v>
      </c>
    </row>
    <row r="50" spans="1:4" ht="18.75" x14ac:dyDescent="0.3">
      <c r="A50" s="23" t="s">
        <v>9</v>
      </c>
      <c r="B50" s="23"/>
      <c r="C50" s="9">
        <v>71.186430000000001</v>
      </c>
      <c r="D50" s="9">
        <f t="shared" si="6"/>
        <v>92.542359000000005</v>
      </c>
    </row>
    <row r="51" spans="1:4" ht="18.75" x14ac:dyDescent="0.3">
      <c r="A51" s="22" t="s">
        <v>17</v>
      </c>
      <c r="B51" s="22"/>
      <c r="C51" s="9">
        <v>27.457623000000002</v>
      </c>
      <c r="D51" s="9">
        <f>C51*1.3</f>
        <v>35.694909900000006</v>
      </c>
    </row>
    <row r="53" spans="1:4" ht="15.75" x14ac:dyDescent="0.25">
      <c r="A53" s="7"/>
      <c r="B53" s="7"/>
      <c r="C53" s="8"/>
      <c r="D53" s="8"/>
    </row>
    <row r="54" spans="1:4" ht="15.75" x14ac:dyDescent="0.25">
      <c r="A54" s="7"/>
      <c r="B54" s="7"/>
      <c r="C54" s="8"/>
      <c r="D54" s="8"/>
    </row>
    <row r="55" spans="1:4" s="12" customFormat="1" ht="15.75" customHeight="1" x14ac:dyDescent="0.25">
      <c r="A55" s="11" t="s">
        <v>35</v>
      </c>
    </row>
    <row r="56" spans="1:4" s="12" customFormat="1" ht="15.75" customHeight="1" x14ac:dyDescent="0.25">
      <c r="A56" s="13" t="s">
        <v>36</v>
      </c>
      <c r="B56" s="14"/>
      <c r="C56" s="17"/>
    </row>
    <row r="57" spans="1:4" s="12" customFormat="1" ht="15.75" customHeight="1" x14ac:dyDescent="0.25">
      <c r="A57" s="15" t="s">
        <v>37</v>
      </c>
      <c r="B57" s="16"/>
      <c r="C57" s="18"/>
    </row>
  </sheetData>
  <sheetProtection algorithmName="SHA-512" hashValue="kzLXQ+Cx7wIdx5sSA2MpIoxB8uiv6/zUmvl1U/o+ylBxAxiKREDAUMP0pce3u/r+gz3pi6gJ314twUd19WQZSQ==" saltValue="qX3I3bHRS3zbN+u0L68mjQ==" spinCount="100000" sheet="1" objects="1" scenarios="1" selectLockedCells="1" selectUnlockedCells="1"/>
  <sortState xmlns:xlrd2="http://schemas.microsoft.com/office/spreadsheetml/2017/richdata2" ref="A34:D52">
    <sortCondition ref="A30"/>
  </sortState>
  <mergeCells count="46">
    <mergeCell ref="A8:B8"/>
    <mergeCell ref="A43:B43"/>
    <mergeCell ref="A42:B42"/>
    <mergeCell ref="A32:B32"/>
    <mergeCell ref="A12:B12"/>
    <mergeCell ref="A28:B28"/>
    <mergeCell ref="A11:B11"/>
    <mergeCell ref="A34:B34"/>
    <mergeCell ref="A21:B21"/>
    <mergeCell ref="A19:B19"/>
    <mergeCell ref="A29:B29"/>
    <mergeCell ref="A35:B35"/>
    <mergeCell ref="A13:B13"/>
    <mergeCell ref="A14:B14"/>
    <mergeCell ref="A4:D4"/>
    <mergeCell ref="A23:B23"/>
    <mergeCell ref="A7:B7"/>
    <mergeCell ref="A20:B20"/>
    <mergeCell ref="A51:B51"/>
    <mergeCell ref="A38:B38"/>
    <mergeCell ref="A36:B36"/>
    <mergeCell ref="A41:B41"/>
    <mergeCell ref="A37:B37"/>
    <mergeCell ref="A50:B50"/>
    <mergeCell ref="A40:B40"/>
    <mergeCell ref="A39:B39"/>
    <mergeCell ref="A45:B45"/>
    <mergeCell ref="A47:B47"/>
    <mergeCell ref="A46:B46"/>
    <mergeCell ref="A48:B48"/>
    <mergeCell ref="A49:B49"/>
    <mergeCell ref="A31:D31"/>
    <mergeCell ref="A6:D6"/>
    <mergeCell ref="A10:B10"/>
    <mergeCell ref="A25:B25"/>
    <mergeCell ref="A17:B17"/>
    <mergeCell ref="A9:B9"/>
    <mergeCell ref="A27:B27"/>
    <mergeCell ref="A16:B16"/>
    <mergeCell ref="A18:B18"/>
    <mergeCell ref="A15:B15"/>
    <mergeCell ref="A24:B24"/>
    <mergeCell ref="A26:B26"/>
    <mergeCell ref="A22:B22"/>
    <mergeCell ref="A44:B44"/>
    <mergeCell ref="A33:B33"/>
  </mergeCells>
  <printOptions horizontalCentered="1" verticalCentered="1"/>
  <pageMargins left="0" right="0" top="0.39370078740157483" bottom="0.39370078740157483" header="0" footer="0"/>
  <pageSetup paperSize="9" scale="72" orientation="portrait" horizontalDpi="120" verticalDpi="144" r:id="rId1"/>
  <rowBreaks count="1" manualBreakCount="1">
    <brk id="54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Gurbuz</dc:creator>
  <cp:lastModifiedBy>ERSİN BURHAN GÜLAÇAR</cp:lastModifiedBy>
  <cp:lastPrinted>2025-03-22T11:03:54Z</cp:lastPrinted>
  <dcterms:created xsi:type="dcterms:W3CDTF">2016-07-13T13:21:03Z</dcterms:created>
  <dcterms:modified xsi:type="dcterms:W3CDTF">2025-09-25T13:44:24Z</dcterms:modified>
</cp:coreProperties>
</file>