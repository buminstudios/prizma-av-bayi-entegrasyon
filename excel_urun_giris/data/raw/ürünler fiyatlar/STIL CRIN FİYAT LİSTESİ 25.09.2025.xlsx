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İYAT LİSTELERİ\GÜRAL FİYAT LİSTELERİ\"/>
    </mc:Choice>
  </mc:AlternateContent>
  <xr:revisionPtr revIDLastSave="0" documentId="13_ncr:1_{F9C0EEF6-17A9-4531-9209-D4BB80A164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2" r:id="rId1"/>
  </sheets>
  <definedNames>
    <definedName name="_xlnm.Print_Area" localSheetId="0">Sayfa1!$A$1:$D$51</definedName>
  </definedNames>
  <calcPr calcId="181029"/>
</workbook>
</file>

<file path=xl/calcChain.xml><?xml version="1.0" encoding="utf-8"?>
<calcChain xmlns="http://schemas.openxmlformats.org/spreadsheetml/2006/main">
  <c r="D29" i="2" l="1"/>
  <c r="D30" i="2"/>
  <c r="D28" i="2"/>
  <c r="D47" i="2"/>
  <c r="D12" i="2"/>
  <c r="D11" i="2"/>
  <c r="D9" i="2"/>
  <c r="D8" i="2"/>
  <c r="D44" i="2"/>
  <c r="D45" i="2"/>
  <c r="D46" i="2"/>
  <c r="D43" i="2"/>
  <c r="D35" i="2"/>
  <c r="D36" i="2"/>
  <c r="D37" i="2"/>
  <c r="D38" i="2"/>
  <c r="D39" i="2"/>
  <c r="D34" i="2"/>
  <c r="D19" i="2"/>
  <c r="D20" i="2"/>
  <c r="D21" i="2"/>
  <c r="D22" i="2"/>
  <c r="D23" i="2"/>
  <c r="D24" i="2"/>
  <c r="D25" i="2"/>
  <c r="D26" i="2"/>
  <c r="D27" i="2"/>
  <c r="D18" i="2"/>
  <c r="D13" i="2"/>
  <c r="D14" i="2"/>
  <c r="D10" i="2"/>
</calcChain>
</file>

<file path=xl/sharedStrings.xml><?xml version="1.0" encoding="utf-8"?>
<sst xmlns="http://schemas.openxmlformats.org/spreadsheetml/2006/main" count="82" uniqueCount="65">
  <si>
    <t>TÜFEK BAKIM SETLERİ</t>
  </si>
  <si>
    <t>160A</t>
  </si>
  <si>
    <t>160D</t>
  </si>
  <si>
    <t>TABANCA BAKIM SETLERİ</t>
  </si>
  <si>
    <t>TPB</t>
  </si>
  <si>
    <t>TETİK DÜŞÜRÜCÜLER</t>
  </si>
  <si>
    <t>YEDEK BAŞLIKLAR</t>
  </si>
  <si>
    <t>87A</t>
  </si>
  <si>
    <t>40/5</t>
  </si>
  <si>
    <t>160D_16</t>
  </si>
  <si>
    <t>160D_28</t>
  </si>
  <si>
    <t>160D_36</t>
  </si>
  <si>
    <t>40/2</t>
  </si>
  <si>
    <t>82B</t>
  </si>
  <si>
    <t>160D_20</t>
  </si>
  <si>
    <t>161-4,5</t>
  </si>
  <si>
    <t>40/20</t>
  </si>
  <si>
    <t>76 ECO</t>
  </si>
  <si>
    <t>88A</t>
  </si>
  <si>
    <t>12 CAL. 3'LÜ YEDEK FIRÇA SETİ</t>
  </si>
  <si>
    <t>12 CAL. 3'LÜ YEDEK FIRÇA SETİ (BAKIR)</t>
  </si>
  <si>
    <t>161-5,56</t>
  </si>
  <si>
    <t>STIL CRIN FİYAT LİSTESİ</t>
  </si>
  <si>
    <t>KODU</t>
  </si>
  <si>
    <t>ÜRÜN ADI</t>
  </si>
  <si>
    <t>*FİYATLARIMIZA KDV DAHİLDİR.</t>
  </si>
  <si>
    <t>9MM. ALÜMİNYUM BAKIM SETİ (POŞETLİ)</t>
  </si>
  <si>
    <t>9MM. ALÜMİNYUM BAKIM SETİ (ÇANTALI)</t>
  </si>
  <si>
    <t>12 CAL. AHŞAP BAKIM SETİ (KUTULU)</t>
  </si>
  <si>
    <t>12 CAL. ALÜMİNYUM BAKIM SETİ (KUTULU)</t>
  </si>
  <si>
    <t>16 CAL. ALÜMİNYUM BAKIM SETİ (KUTULU)</t>
  </si>
  <si>
    <t>28 CAL. ALÜMİNYUM BAKIM SETİ (KUTULU)</t>
  </si>
  <si>
    <t>36 CAL. ALÜMİNYUM BAKIM SETİ (KUTULU)</t>
  </si>
  <si>
    <t>20 CAL. ALÜMİNYUM BAKIM SETİ (KUTULU)</t>
  </si>
  <si>
    <t>308-7,62 MM. ALÜMİNYUM BAKIM SETİ (KUTULU)</t>
  </si>
  <si>
    <t>4,5 MM. ALÜMİNYUM BAKIM SETİ (KUTULU)</t>
  </si>
  <si>
    <t>5,56 MM. ALÜMİNYUM BAKIM SETİ (KUTULU)</t>
  </si>
  <si>
    <t>12CAL. - 7,62 MM. - 9 MM. ALÜMİNYUM BAKIM SETİ (ÇANTALI)</t>
  </si>
  <si>
    <t>308-7,62 MM. 3'LÜ YEDEK FIRÇA SETİ</t>
  </si>
  <si>
    <t>40/6</t>
  </si>
  <si>
    <t>TOPTAN €</t>
  </si>
  <si>
    <t>308-7,62 MM. 3'LÜ YEDEK FIRÇA SETİ (YAYLI)</t>
  </si>
  <si>
    <t>40R/2</t>
  </si>
  <si>
    <t>9MM. ALÜMİNYUM TETİK DÜŞÜRÜCÜ (SNAP CAP)</t>
  </si>
  <si>
    <t>12 CAL. ALÜMİNYUM TETİK DÜŞÜRÜCÜ (SNAP CAP)</t>
  </si>
  <si>
    <t>22 CAL. ALÜMİNYUM TETİK DÜŞÜRÜCÜ (SNAP CAP)</t>
  </si>
  <si>
    <t>38 CAL. ALÜMİNYUM TETİK DÜŞÜRÜCÜ (SNAP CAP)</t>
  </si>
  <si>
    <t>45 CAL. ALÜMİNYUM TETİK DÜŞÜRÜCÜ (SNAP CAP)</t>
  </si>
  <si>
    <t>308-7,62MM ALÜMİNYUM TETİK DÜŞÜRÜCÜ (SNAP CAP)</t>
  </si>
  <si>
    <t>PERAKENDE €</t>
  </si>
  <si>
    <t>* YEŞİL İLE İŞARETLİ ÜRÜNLER YENİ ÜRÜNLERDİR.</t>
  </si>
  <si>
    <t>* SARI İLE İŞARETLİ ÜRÜNLER, BİR ÖNCEKİ LİSTEYE GÖRE ZAMLANAN ÜRÜNLERDİR.</t>
  </si>
  <si>
    <t>9MM. ALÜMİNYUM BAKIM SETİ (HAZNELİ)</t>
  </si>
  <si>
    <t>6.35MM. ALÜMİNYUM BAKIM SETİ (HAZNELİ)</t>
  </si>
  <si>
    <t>7.65MM. ALÜMİNYUM BAKIM SETİ (HAZNELİ)</t>
  </si>
  <si>
    <t>6.35MM. ALÜMİNYUM BAKIM SETİ (POŞETLİ)</t>
  </si>
  <si>
    <t>7.65MM. ALÜMİNYUM BAKIM SETİ (POŞETLİ)</t>
  </si>
  <si>
    <t>88E</t>
  </si>
  <si>
    <t>12 CAL. BRONZ YEDEK BAKIM SETİ UCU</t>
  </si>
  <si>
    <t>SPCL12</t>
  </si>
  <si>
    <t>SPCL16</t>
  </si>
  <si>
    <t>SPCL20</t>
  </si>
  <si>
    <t>12 CAL. İPLİ TÜFEK BAKIM SETİ</t>
  </si>
  <si>
    <t>16 CAL. İPLİ TÜFEK BAKIM SETİ</t>
  </si>
  <si>
    <t>20 CAL. İPLİ TÜFEK BAKIM SETİ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</si>
</sst>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₺&quot;_-;\-* #,##0.00\ &quot;₺&quot;_-;_-* &quot;-&quot;??\ &quot;₺&quot;_-;_-@_-"/>
    <numFmt numFmtId="165" formatCode="#,##0.00\ &quot;₺&quot;"/>
    <numFmt numFmtId="166" formatCode="#,##0.00\ [$€-1]"/>
  </numFmts>
  <fonts count="12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164" fontId="7" fillId="0" borderId="0" xfId="1" applyFont="1" applyFill="1" applyBorder="1"/>
    <xf numFmtId="165" fontId="4" fillId="2" borderId="1" xfId="0" applyNumberFormat="1" applyFont="1" applyFill="1" applyBorder="1" applyAlignment="1">
      <alignment horizontal="center" wrapText="1"/>
    </xf>
    <xf numFmtId="165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165" fontId="0" fillId="0" borderId="0" xfId="0" applyNumberForma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5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4" fillId="0" borderId="1" xfId="0" applyNumberFormat="1" applyFont="1" applyBorder="1" applyAlignment="1">
      <alignment horizontal="right"/>
    </xf>
    <xf numFmtId="166" fontId="4" fillId="3" borderId="1" xfId="0" applyNumberFormat="1" applyFont="1" applyFill="1" applyBorder="1" applyAlignment="1">
      <alignment horizontal="right"/>
    </xf>
    <xf numFmtId="0" fontId="10" fillId="0" borderId="0" xfId="0" applyFont="1"/>
    <xf numFmtId="165" fontId="10" fillId="0" borderId="0" xfId="0" applyNumberFormat="1" applyFont="1"/>
    <xf numFmtId="0" fontId="6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6" fontId="4" fillId="4" borderId="1" xfId="0" applyNumberFormat="1" applyFont="1" applyFill="1" applyBorder="1" applyAlignment="1">
      <alignment horizontal="right"/>
    </xf>
    <xf numFmtId="164" fontId="9" fillId="3" borderId="0" xfId="1" applyFont="1" applyFill="1" applyBorder="1" applyAlignment="1">
      <alignment horizontal="left"/>
    </xf>
    <xf numFmtId="164" fontId="9" fillId="4" borderId="0" xfId="1" applyFont="1" applyFill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66" fontId="4" fillId="0" borderId="1" xfId="0" applyNumberFormat="1" applyFont="1" applyFill="1" applyBorder="1" applyAlignment="1">
      <alignment horizontal="right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50687</xdr:colOff>
      <xdr:row>0</xdr:row>
      <xdr:rowOff>85075</xdr:rowOff>
    </xdr:from>
    <xdr:to>
      <xdr:col>1</xdr:col>
      <xdr:colOff>778668</xdr:colOff>
      <xdr:row>2</xdr:row>
      <xdr:rowOff>130968</xdr:rowOff>
    </xdr:to>
    <xdr:pic>
      <xdr:nvPicPr>
        <xdr:cNvPr id="5" name="Resim 3" descr="C:\Users\ali\Downloads\Untitled-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87" y="85075"/>
          <a:ext cx="1966231" cy="426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4593772</xdr:colOff>
      <xdr:row>0</xdr:row>
      <xdr:rowOff>46264</xdr:rowOff>
    </xdr:from>
    <xdr:to>
      <xdr:col>3</xdr:col>
      <xdr:colOff>1200492</xdr:colOff>
      <xdr:row>2</xdr:row>
      <xdr:rowOff>131989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147" y="46264"/>
          <a:ext cx="2476501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"/>
  <sheetViews>
    <sheetView tabSelected="1" zoomScale="80" zoomScaleNormal="80" zoomScaleSheetLayoutView="70" workbookViewId="0">
      <selection activeCell="B27" sqref="B27"/>
    </sheetView>
  </sheetViews>
  <sheetFormatPr defaultRowHeight="15" x14ac:dyDescent="0.25"/>
  <cols>
    <col min="1" max="1" width="18.5703125" customWidth="1"/>
    <col min="2" max="2" width="70.5703125" customWidth="1"/>
    <col min="3" max="3" width="17.5703125" customWidth="1"/>
    <col min="4" max="4" width="18.7109375" style="10" customWidth="1"/>
    <col min="247" max="247" width="11" bestFit="1" customWidth="1"/>
    <col min="248" max="248" width="69.85546875" bestFit="1" customWidth="1"/>
    <col min="249" max="249" width="10.7109375" bestFit="1" customWidth="1"/>
    <col min="503" max="503" width="11" bestFit="1" customWidth="1"/>
    <col min="504" max="504" width="69.85546875" bestFit="1" customWidth="1"/>
    <col min="505" max="505" width="10.7109375" bestFit="1" customWidth="1"/>
    <col min="759" max="759" width="11" bestFit="1" customWidth="1"/>
    <col min="760" max="760" width="69.85546875" bestFit="1" customWidth="1"/>
    <col min="761" max="761" width="10.7109375" bestFit="1" customWidth="1"/>
    <col min="1015" max="1015" width="11" bestFit="1" customWidth="1"/>
    <col min="1016" max="1016" width="69.85546875" bestFit="1" customWidth="1"/>
    <col min="1017" max="1017" width="10.7109375" bestFit="1" customWidth="1"/>
    <col min="1271" max="1271" width="11" bestFit="1" customWidth="1"/>
    <col min="1272" max="1272" width="69.85546875" bestFit="1" customWidth="1"/>
    <col min="1273" max="1273" width="10.7109375" bestFit="1" customWidth="1"/>
    <col min="1527" max="1527" width="11" bestFit="1" customWidth="1"/>
    <col min="1528" max="1528" width="69.85546875" bestFit="1" customWidth="1"/>
    <col min="1529" max="1529" width="10.7109375" bestFit="1" customWidth="1"/>
    <col min="1783" max="1783" width="11" bestFit="1" customWidth="1"/>
    <col min="1784" max="1784" width="69.85546875" bestFit="1" customWidth="1"/>
    <col min="1785" max="1785" width="10.7109375" bestFit="1" customWidth="1"/>
    <col min="2039" max="2039" width="11" bestFit="1" customWidth="1"/>
    <col min="2040" max="2040" width="69.85546875" bestFit="1" customWidth="1"/>
    <col min="2041" max="2041" width="10.7109375" bestFit="1" customWidth="1"/>
    <col min="2295" max="2295" width="11" bestFit="1" customWidth="1"/>
    <col min="2296" max="2296" width="69.85546875" bestFit="1" customWidth="1"/>
    <col min="2297" max="2297" width="10.7109375" bestFit="1" customWidth="1"/>
    <col min="2551" max="2551" width="11" bestFit="1" customWidth="1"/>
    <col min="2552" max="2552" width="69.85546875" bestFit="1" customWidth="1"/>
    <col min="2553" max="2553" width="10.7109375" bestFit="1" customWidth="1"/>
    <col min="2807" max="2807" width="11" bestFit="1" customWidth="1"/>
    <col min="2808" max="2808" width="69.85546875" bestFit="1" customWidth="1"/>
    <col min="2809" max="2809" width="10.7109375" bestFit="1" customWidth="1"/>
    <col min="3063" max="3063" width="11" bestFit="1" customWidth="1"/>
    <col min="3064" max="3064" width="69.85546875" bestFit="1" customWidth="1"/>
    <col min="3065" max="3065" width="10.7109375" bestFit="1" customWidth="1"/>
    <col min="3319" max="3319" width="11" bestFit="1" customWidth="1"/>
    <col min="3320" max="3320" width="69.85546875" bestFit="1" customWidth="1"/>
    <col min="3321" max="3321" width="10.7109375" bestFit="1" customWidth="1"/>
    <col min="3575" max="3575" width="11" bestFit="1" customWidth="1"/>
    <col min="3576" max="3576" width="69.85546875" bestFit="1" customWidth="1"/>
    <col min="3577" max="3577" width="10.7109375" bestFit="1" customWidth="1"/>
    <col min="3831" max="3831" width="11" bestFit="1" customWidth="1"/>
    <col min="3832" max="3832" width="69.85546875" bestFit="1" customWidth="1"/>
    <col min="3833" max="3833" width="10.7109375" bestFit="1" customWidth="1"/>
    <col min="4087" max="4087" width="11" bestFit="1" customWidth="1"/>
    <col min="4088" max="4088" width="69.85546875" bestFit="1" customWidth="1"/>
    <col min="4089" max="4089" width="10.7109375" bestFit="1" customWidth="1"/>
    <col min="4343" max="4343" width="11" bestFit="1" customWidth="1"/>
    <col min="4344" max="4344" width="69.85546875" bestFit="1" customWidth="1"/>
    <col min="4345" max="4345" width="10.7109375" bestFit="1" customWidth="1"/>
    <col min="4599" max="4599" width="11" bestFit="1" customWidth="1"/>
    <col min="4600" max="4600" width="69.85546875" bestFit="1" customWidth="1"/>
    <col min="4601" max="4601" width="10.7109375" bestFit="1" customWidth="1"/>
    <col min="4855" max="4855" width="11" bestFit="1" customWidth="1"/>
    <col min="4856" max="4856" width="69.85546875" bestFit="1" customWidth="1"/>
    <col min="4857" max="4857" width="10.7109375" bestFit="1" customWidth="1"/>
    <col min="5111" max="5111" width="11" bestFit="1" customWidth="1"/>
    <col min="5112" max="5112" width="69.85546875" bestFit="1" customWidth="1"/>
    <col min="5113" max="5113" width="10.7109375" bestFit="1" customWidth="1"/>
    <col min="5367" max="5367" width="11" bestFit="1" customWidth="1"/>
    <col min="5368" max="5368" width="69.85546875" bestFit="1" customWidth="1"/>
    <col min="5369" max="5369" width="10.7109375" bestFit="1" customWidth="1"/>
    <col min="5623" max="5623" width="11" bestFit="1" customWidth="1"/>
    <col min="5624" max="5624" width="69.85546875" bestFit="1" customWidth="1"/>
    <col min="5625" max="5625" width="10.7109375" bestFit="1" customWidth="1"/>
    <col min="5879" max="5879" width="11" bestFit="1" customWidth="1"/>
    <col min="5880" max="5880" width="69.85546875" bestFit="1" customWidth="1"/>
    <col min="5881" max="5881" width="10.7109375" bestFit="1" customWidth="1"/>
    <col min="6135" max="6135" width="11" bestFit="1" customWidth="1"/>
    <col min="6136" max="6136" width="69.85546875" bestFit="1" customWidth="1"/>
    <col min="6137" max="6137" width="10.7109375" bestFit="1" customWidth="1"/>
    <col min="6391" max="6391" width="11" bestFit="1" customWidth="1"/>
    <col min="6392" max="6392" width="69.85546875" bestFit="1" customWidth="1"/>
    <col min="6393" max="6393" width="10.7109375" bestFit="1" customWidth="1"/>
    <col min="6647" max="6647" width="11" bestFit="1" customWidth="1"/>
    <col min="6648" max="6648" width="69.85546875" bestFit="1" customWidth="1"/>
    <col min="6649" max="6649" width="10.7109375" bestFit="1" customWidth="1"/>
    <col min="6903" max="6903" width="11" bestFit="1" customWidth="1"/>
    <col min="6904" max="6904" width="69.85546875" bestFit="1" customWidth="1"/>
    <col min="6905" max="6905" width="10.7109375" bestFit="1" customWidth="1"/>
    <col min="7159" max="7159" width="11" bestFit="1" customWidth="1"/>
    <col min="7160" max="7160" width="69.85546875" bestFit="1" customWidth="1"/>
    <col min="7161" max="7161" width="10.7109375" bestFit="1" customWidth="1"/>
    <col min="7415" max="7415" width="11" bestFit="1" customWidth="1"/>
    <col min="7416" max="7416" width="69.85546875" bestFit="1" customWidth="1"/>
    <col min="7417" max="7417" width="10.7109375" bestFit="1" customWidth="1"/>
    <col min="7671" max="7671" width="11" bestFit="1" customWidth="1"/>
    <col min="7672" max="7672" width="69.85546875" bestFit="1" customWidth="1"/>
    <col min="7673" max="7673" width="10.7109375" bestFit="1" customWidth="1"/>
    <col min="7927" max="7927" width="11" bestFit="1" customWidth="1"/>
    <col min="7928" max="7928" width="69.85546875" bestFit="1" customWidth="1"/>
    <col min="7929" max="7929" width="10.7109375" bestFit="1" customWidth="1"/>
    <col min="8183" max="8183" width="11" bestFit="1" customWidth="1"/>
    <col min="8184" max="8184" width="69.85546875" bestFit="1" customWidth="1"/>
    <col min="8185" max="8185" width="10.7109375" bestFit="1" customWidth="1"/>
    <col min="8439" max="8439" width="11" bestFit="1" customWidth="1"/>
    <col min="8440" max="8440" width="69.85546875" bestFit="1" customWidth="1"/>
    <col min="8441" max="8441" width="10.7109375" bestFit="1" customWidth="1"/>
    <col min="8695" max="8695" width="11" bestFit="1" customWidth="1"/>
    <col min="8696" max="8696" width="69.85546875" bestFit="1" customWidth="1"/>
    <col min="8697" max="8697" width="10.7109375" bestFit="1" customWidth="1"/>
    <col min="8951" max="8951" width="11" bestFit="1" customWidth="1"/>
    <col min="8952" max="8952" width="69.85546875" bestFit="1" customWidth="1"/>
    <col min="8953" max="8953" width="10.7109375" bestFit="1" customWidth="1"/>
    <col min="9207" max="9207" width="11" bestFit="1" customWidth="1"/>
    <col min="9208" max="9208" width="69.85546875" bestFit="1" customWidth="1"/>
    <col min="9209" max="9209" width="10.7109375" bestFit="1" customWidth="1"/>
    <col min="9463" max="9463" width="11" bestFit="1" customWidth="1"/>
    <col min="9464" max="9464" width="69.85546875" bestFit="1" customWidth="1"/>
    <col min="9465" max="9465" width="10.7109375" bestFit="1" customWidth="1"/>
    <col min="9719" max="9719" width="11" bestFit="1" customWidth="1"/>
    <col min="9720" max="9720" width="69.85546875" bestFit="1" customWidth="1"/>
    <col min="9721" max="9721" width="10.7109375" bestFit="1" customWidth="1"/>
    <col min="9975" max="9975" width="11" bestFit="1" customWidth="1"/>
    <col min="9976" max="9976" width="69.85546875" bestFit="1" customWidth="1"/>
    <col min="9977" max="9977" width="10.7109375" bestFit="1" customWidth="1"/>
    <col min="10231" max="10231" width="11" bestFit="1" customWidth="1"/>
    <col min="10232" max="10232" width="69.85546875" bestFit="1" customWidth="1"/>
    <col min="10233" max="10233" width="10.7109375" bestFit="1" customWidth="1"/>
    <col min="10487" max="10487" width="11" bestFit="1" customWidth="1"/>
    <col min="10488" max="10488" width="69.85546875" bestFit="1" customWidth="1"/>
    <col min="10489" max="10489" width="10.7109375" bestFit="1" customWidth="1"/>
    <col min="10743" max="10743" width="11" bestFit="1" customWidth="1"/>
    <col min="10744" max="10744" width="69.85546875" bestFit="1" customWidth="1"/>
    <col min="10745" max="10745" width="10.7109375" bestFit="1" customWidth="1"/>
    <col min="10999" max="10999" width="11" bestFit="1" customWidth="1"/>
    <col min="11000" max="11000" width="69.85546875" bestFit="1" customWidth="1"/>
    <col min="11001" max="11001" width="10.7109375" bestFit="1" customWidth="1"/>
    <col min="11255" max="11255" width="11" bestFit="1" customWidth="1"/>
    <col min="11256" max="11256" width="69.85546875" bestFit="1" customWidth="1"/>
    <col min="11257" max="11257" width="10.7109375" bestFit="1" customWidth="1"/>
    <col min="11511" max="11511" width="11" bestFit="1" customWidth="1"/>
    <col min="11512" max="11512" width="69.85546875" bestFit="1" customWidth="1"/>
    <col min="11513" max="11513" width="10.7109375" bestFit="1" customWidth="1"/>
    <col min="11767" max="11767" width="11" bestFit="1" customWidth="1"/>
    <col min="11768" max="11768" width="69.85546875" bestFit="1" customWidth="1"/>
    <col min="11769" max="11769" width="10.7109375" bestFit="1" customWidth="1"/>
    <col min="12023" max="12023" width="11" bestFit="1" customWidth="1"/>
    <col min="12024" max="12024" width="69.85546875" bestFit="1" customWidth="1"/>
    <col min="12025" max="12025" width="10.7109375" bestFit="1" customWidth="1"/>
    <col min="12279" max="12279" width="11" bestFit="1" customWidth="1"/>
    <col min="12280" max="12280" width="69.85546875" bestFit="1" customWidth="1"/>
    <col min="12281" max="12281" width="10.7109375" bestFit="1" customWidth="1"/>
    <col min="12535" max="12535" width="11" bestFit="1" customWidth="1"/>
    <col min="12536" max="12536" width="69.85546875" bestFit="1" customWidth="1"/>
    <col min="12537" max="12537" width="10.7109375" bestFit="1" customWidth="1"/>
    <col min="12791" max="12791" width="11" bestFit="1" customWidth="1"/>
    <col min="12792" max="12792" width="69.85546875" bestFit="1" customWidth="1"/>
    <col min="12793" max="12793" width="10.7109375" bestFit="1" customWidth="1"/>
    <col min="13047" max="13047" width="11" bestFit="1" customWidth="1"/>
    <col min="13048" max="13048" width="69.85546875" bestFit="1" customWidth="1"/>
    <col min="13049" max="13049" width="10.7109375" bestFit="1" customWidth="1"/>
    <col min="13303" max="13303" width="11" bestFit="1" customWidth="1"/>
    <col min="13304" max="13304" width="69.85546875" bestFit="1" customWidth="1"/>
    <col min="13305" max="13305" width="10.7109375" bestFit="1" customWidth="1"/>
    <col min="13559" max="13559" width="11" bestFit="1" customWidth="1"/>
    <col min="13560" max="13560" width="69.85546875" bestFit="1" customWidth="1"/>
    <col min="13561" max="13561" width="10.7109375" bestFit="1" customWidth="1"/>
    <col min="13815" max="13815" width="11" bestFit="1" customWidth="1"/>
    <col min="13816" max="13816" width="69.85546875" bestFit="1" customWidth="1"/>
    <col min="13817" max="13817" width="10.7109375" bestFit="1" customWidth="1"/>
    <col min="14071" max="14071" width="11" bestFit="1" customWidth="1"/>
    <col min="14072" max="14072" width="69.85546875" bestFit="1" customWidth="1"/>
    <col min="14073" max="14073" width="10.7109375" bestFit="1" customWidth="1"/>
    <col min="14327" max="14327" width="11" bestFit="1" customWidth="1"/>
    <col min="14328" max="14328" width="69.85546875" bestFit="1" customWidth="1"/>
    <col min="14329" max="14329" width="10.7109375" bestFit="1" customWidth="1"/>
    <col min="14583" max="14583" width="11" bestFit="1" customWidth="1"/>
    <col min="14584" max="14584" width="69.85546875" bestFit="1" customWidth="1"/>
    <col min="14585" max="14585" width="10.7109375" bestFit="1" customWidth="1"/>
    <col min="14839" max="14839" width="11" bestFit="1" customWidth="1"/>
    <col min="14840" max="14840" width="69.85546875" bestFit="1" customWidth="1"/>
    <col min="14841" max="14841" width="10.7109375" bestFit="1" customWidth="1"/>
    <col min="15095" max="15095" width="11" bestFit="1" customWidth="1"/>
    <col min="15096" max="15096" width="69.85546875" bestFit="1" customWidth="1"/>
    <col min="15097" max="15097" width="10.7109375" bestFit="1" customWidth="1"/>
    <col min="15351" max="15351" width="11" bestFit="1" customWidth="1"/>
    <col min="15352" max="15352" width="69.85546875" bestFit="1" customWidth="1"/>
    <col min="15353" max="15353" width="10.7109375" bestFit="1" customWidth="1"/>
    <col min="15607" max="15607" width="11" bestFit="1" customWidth="1"/>
    <col min="15608" max="15608" width="69.85546875" bestFit="1" customWidth="1"/>
    <col min="15609" max="15609" width="10.7109375" bestFit="1" customWidth="1"/>
    <col min="15863" max="15863" width="11" bestFit="1" customWidth="1"/>
    <col min="15864" max="15864" width="69.85546875" bestFit="1" customWidth="1"/>
    <col min="15865" max="15865" width="10.7109375" bestFit="1" customWidth="1"/>
    <col min="16119" max="16119" width="11" bestFit="1" customWidth="1"/>
    <col min="16120" max="16120" width="69.85546875" bestFit="1" customWidth="1"/>
    <col min="16121" max="16121" width="10.7109375" bestFit="1" customWidth="1"/>
  </cols>
  <sheetData>
    <row r="1" spans="1:4" x14ac:dyDescent="0.25">
      <c r="D1"/>
    </row>
    <row r="3" spans="1:4" ht="71.25" customHeight="1" x14ac:dyDescent="0.25"/>
    <row r="4" spans="1:4" ht="31.5" customHeight="1" x14ac:dyDescent="0.5">
      <c r="A4" s="28" t="s">
        <v>22</v>
      </c>
      <c r="B4" s="28"/>
      <c r="C4" s="28"/>
      <c r="D4" s="28"/>
    </row>
    <row r="5" spans="1:4" ht="21.75" customHeight="1" x14ac:dyDescent="0.5">
      <c r="A5" s="14"/>
      <c r="B5" s="14"/>
      <c r="C5" s="14"/>
      <c r="D5" s="8"/>
    </row>
    <row r="6" spans="1:4" ht="21" customHeight="1" x14ac:dyDescent="0.35">
      <c r="A6" s="26" t="s">
        <v>3</v>
      </c>
      <c r="B6" s="27"/>
      <c r="C6" s="27"/>
      <c r="D6" s="27"/>
    </row>
    <row r="7" spans="1:4" ht="21" customHeight="1" x14ac:dyDescent="0.3">
      <c r="A7" s="5" t="s">
        <v>23</v>
      </c>
      <c r="B7" s="5" t="s">
        <v>24</v>
      </c>
      <c r="C7" s="5" t="s">
        <v>40</v>
      </c>
      <c r="D7" s="7" t="s">
        <v>49</v>
      </c>
    </row>
    <row r="8" spans="1:4" ht="21" customHeight="1" x14ac:dyDescent="0.3">
      <c r="A8" s="29" t="s">
        <v>13</v>
      </c>
      <c r="B8" s="30" t="s">
        <v>53</v>
      </c>
      <c r="C8" s="31">
        <v>6.1016940000000002</v>
      </c>
      <c r="D8" s="31">
        <f t="shared" ref="D8:D9" si="0">C8*1.25</f>
        <v>7.6271175000000007</v>
      </c>
    </row>
    <row r="9" spans="1:4" ht="21" customHeight="1" x14ac:dyDescent="0.3">
      <c r="A9" s="29" t="s">
        <v>13</v>
      </c>
      <c r="B9" s="30" t="s">
        <v>54</v>
      </c>
      <c r="C9" s="31">
        <v>6.1016940000000002</v>
      </c>
      <c r="D9" s="31">
        <f t="shared" si="0"/>
        <v>7.6271175000000007</v>
      </c>
    </row>
    <row r="10" spans="1:4" ht="21" customHeight="1" x14ac:dyDescent="0.3">
      <c r="A10" s="29" t="s">
        <v>13</v>
      </c>
      <c r="B10" s="30" t="s">
        <v>52</v>
      </c>
      <c r="C10" s="31">
        <v>6.1016940000000002</v>
      </c>
      <c r="D10" s="31">
        <f>C10*1.25</f>
        <v>7.6271175000000007</v>
      </c>
    </row>
    <row r="11" spans="1:4" ht="21" customHeight="1" x14ac:dyDescent="0.3">
      <c r="A11" s="29" t="s">
        <v>17</v>
      </c>
      <c r="B11" s="30" t="s">
        <v>55</v>
      </c>
      <c r="C11" s="31">
        <v>2.82</v>
      </c>
      <c r="D11" s="31">
        <f t="shared" ref="D11:D14" si="1">C11*1.25</f>
        <v>3.5249999999999999</v>
      </c>
    </row>
    <row r="12" spans="1:4" ht="21" customHeight="1" x14ac:dyDescent="0.3">
      <c r="A12" s="29" t="s">
        <v>17</v>
      </c>
      <c r="B12" s="30" t="s">
        <v>56</v>
      </c>
      <c r="C12" s="31">
        <v>2.82</v>
      </c>
      <c r="D12" s="31">
        <f t="shared" si="1"/>
        <v>3.5249999999999999</v>
      </c>
    </row>
    <row r="13" spans="1:4" ht="21" customHeight="1" x14ac:dyDescent="0.3">
      <c r="A13" s="3" t="s">
        <v>17</v>
      </c>
      <c r="B13" s="4" t="s">
        <v>26</v>
      </c>
      <c r="C13" s="15">
        <v>2.82</v>
      </c>
      <c r="D13" s="15">
        <f t="shared" si="1"/>
        <v>3.5249999999999999</v>
      </c>
    </row>
    <row r="14" spans="1:4" ht="21" customHeight="1" x14ac:dyDescent="0.3">
      <c r="A14" s="3" t="s">
        <v>4</v>
      </c>
      <c r="B14" s="4" t="s">
        <v>27</v>
      </c>
      <c r="C14" s="15">
        <v>8.84</v>
      </c>
      <c r="D14" s="15">
        <f t="shared" si="1"/>
        <v>11.05</v>
      </c>
    </row>
    <row r="15" spans="1:4" ht="19.5" customHeight="1" x14ac:dyDescent="0.25">
      <c r="A15" s="1"/>
      <c r="B15" s="2"/>
      <c r="C15" s="2"/>
      <c r="D15" s="9"/>
    </row>
    <row r="16" spans="1:4" ht="21" customHeight="1" x14ac:dyDescent="0.35">
      <c r="A16" s="26" t="s">
        <v>0</v>
      </c>
      <c r="B16" s="27"/>
      <c r="C16" s="27"/>
      <c r="D16" s="27"/>
    </row>
    <row r="17" spans="1:4" ht="21" customHeight="1" x14ac:dyDescent="0.3">
      <c r="A17" s="5" t="s">
        <v>23</v>
      </c>
      <c r="B17" s="5" t="s">
        <v>24</v>
      </c>
      <c r="C17" s="5" t="s">
        <v>40</v>
      </c>
      <c r="D17" s="7" t="s">
        <v>49</v>
      </c>
    </row>
    <row r="18" spans="1:4" ht="21" customHeight="1" x14ac:dyDescent="0.3">
      <c r="A18" s="3" t="s">
        <v>1</v>
      </c>
      <c r="B18" s="4" t="s">
        <v>28</v>
      </c>
      <c r="C18" s="15">
        <v>8.542371600000001</v>
      </c>
      <c r="D18" s="15">
        <f t="shared" ref="D18:D30" si="2">C18*1.25</f>
        <v>10.677964500000002</v>
      </c>
    </row>
    <row r="19" spans="1:4" ht="21" customHeight="1" x14ac:dyDescent="0.3">
      <c r="A19" s="3" t="s">
        <v>2</v>
      </c>
      <c r="B19" s="4" t="s">
        <v>29</v>
      </c>
      <c r="C19" s="15">
        <v>8.1355920000000008</v>
      </c>
      <c r="D19" s="15">
        <f t="shared" si="2"/>
        <v>10.169490000000001</v>
      </c>
    </row>
    <row r="20" spans="1:4" ht="21" customHeight="1" x14ac:dyDescent="0.3">
      <c r="A20" s="3" t="s">
        <v>9</v>
      </c>
      <c r="B20" s="4" t="s">
        <v>30</v>
      </c>
      <c r="C20" s="15">
        <v>8.1355920000000008</v>
      </c>
      <c r="D20" s="15">
        <f t="shared" si="2"/>
        <v>10.169490000000001</v>
      </c>
    </row>
    <row r="21" spans="1:4" ht="21" customHeight="1" x14ac:dyDescent="0.3">
      <c r="A21" s="3" t="s">
        <v>10</v>
      </c>
      <c r="B21" s="4" t="s">
        <v>31</v>
      </c>
      <c r="C21" s="15">
        <v>8.1355920000000008</v>
      </c>
      <c r="D21" s="15">
        <f t="shared" si="2"/>
        <v>10.169490000000001</v>
      </c>
    </row>
    <row r="22" spans="1:4" ht="21" customHeight="1" x14ac:dyDescent="0.3">
      <c r="A22" s="3" t="s">
        <v>11</v>
      </c>
      <c r="B22" s="4" t="s">
        <v>32</v>
      </c>
      <c r="C22" s="15">
        <v>8.1355920000000008</v>
      </c>
      <c r="D22" s="15">
        <f t="shared" si="2"/>
        <v>10.169490000000001</v>
      </c>
    </row>
    <row r="23" spans="1:4" ht="21" customHeight="1" x14ac:dyDescent="0.3">
      <c r="A23" s="3" t="s">
        <v>14</v>
      </c>
      <c r="B23" s="4" t="s">
        <v>33</v>
      </c>
      <c r="C23" s="15">
        <v>8.1355920000000008</v>
      </c>
      <c r="D23" s="15">
        <f t="shared" si="2"/>
        <v>10.169490000000001</v>
      </c>
    </row>
    <row r="24" spans="1:4" ht="21" customHeight="1" x14ac:dyDescent="0.3">
      <c r="A24" s="3">
        <v>161</v>
      </c>
      <c r="B24" s="4" t="s">
        <v>34</v>
      </c>
      <c r="C24" s="15">
        <v>8.542371600000001</v>
      </c>
      <c r="D24" s="15">
        <f t="shared" si="2"/>
        <v>10.677964500000002</v>
      </c>
    </row>
    <row r="25" spans="1:4" ht="21" customHeight="1" x14ac:dyDescent="0.3">
      <c r="A25" s="3" t="s">
        <v>15</v>
      </c>
      <c r="B25" s="4" t="s">
        <v>35</v>
      </c>
      <c r="C25" s="15">
        <v>8.542371600000001</v>
      </c>
      <c r="D25" s="15">
        <f t="shared" si="2"/>
        <v>10.677964500000002</v>
      </c>
    </row>
    <row r="26" spans="1:4" ht="21" customHeight="1" x14ac:dyDescent="0.3">
      <c r="A26" s="3" t="s">
        <v>21</v>
      </c>
      <c r="B26" s="4" t="s">
        <v>36</v>
      </c>
      <c r="C26" s="15">
        <v>8.542371600000001</v>
      </c>
      <c r="D26" s="15">
        <f t="shared" si="2"/>
        <v>10.677964500000002</v>
      </c>
    </row>
    <row r="27" spans="1:4" ht="21" customHeight="1" x14ac:dyDescent="0.3">
      <c r="A27" s="29">
        <v>135</v>
      </c>
      <c r="B27" s="30" t="s">
        <v>37</v>
      </c>
      <c r="C27" s="31">
        <v>32</v>
      </c>
      <c r="D27" s="31">
        <f t="shared" si="2"/>
        <v>40</v>
      </c>
    </row>
    <row r="28" spans="1:4" ht="21" customHeight="1" x14ac:dyDescent="0.3">
      <c r="A28" s="21" t="s">
        <v>59</v>
      </c>
      <c r="B28" s="22" t="s">
        <v>62</v>
      </c>
      <c r="C28" s="23">
        <v>5.69</v>
      </c>
      <c r="D28" s="23">
        <f t="shared" si="2"/>
        <v>7.1125000000000007</v>
      </c>
    </row>
    <row r="29" spans="1:4" ht="21" customHeight="1" x14ac:dyDescent="0.3">
      <c r="A29" s="21" t="s">
        <v>60</v>
      </c>
      <c r="B29" s="22" t="s">
        <v>63</v>
      </c>
      <c r="C29" s="23">
        <v>5.69</v>
      </c>
      <c r="D29" s="23">
        <f t="shared" si="2"/>
        <v>7.1125000000000007</v>
      </c>
    </row>
    <row r="30" spans="1:4" ht="21" customHeight="1" x14ac:dyDescent="0.3">
      <c r="A30" s="21" t="s">
        <v>61</v>
      </c>
      <c r="B30" s="22" t="s">
        <v>64</v>
      </c>
      <c r="C30" s="23">
        <v>5.69</v>
      </c>
      <c r="D30" s="23">
        <f t="shared" si="2"/>
        <v>7.1125000000000007</v>
      </c>
    </row>
    <row r="31" spans="1:4" ht="21" customHeight="1" x14ac:dyDescent="0.25">
      <c r="A31" s="1"/>
      <c r="B31" s="2"/>
      <c r="C31" s="2"/>
      <c r="D31" s="9"/>
    </row>
    <row r="32" spans="1:4" ht="21" customHeight="1" x14ac:dyDescent="0.35">
      <c r="A32" s="26" t="s">
        <v>5</v>
      </c>
      <c r="B32" s="27"/>
      <c r="C32" s="27"/>
      <c r="D32" s="27"/>
    </row>
    <row r="33" spans="1:4" ht="21" customHeight="1" x14ac:dyDescent="0.3">
      <c r="A33" s="5" t="s">
        <v>23</v>
      </c>
      <c r="B33" s="5" t="s">
        <v>24</v>
      </c>
      <c r="C33" s="5" t="s">
        <v>40</v>
      </c>
      <c r="D33" s="7" t="s">
        <v>49</v>
      </c>
    </row>
    <row r="34" spans="1:4" ht="21" customHeight="1" x14ac:dyDescent="0.3">
      <c r="A34" s="3" t="s">
        <v>8</v>
      </c>
      <c r="B34" s="4" t="s">
        <v>43</v>
      </c>
      <c r="C34" s="15">
        <v>9.9499999999999993</v>
      </c>
      <c r="D34" s="15">
        <f t="shared" ref="D34:D39" si="3">C34*1.25</f>
        <v>12.4375</v>
      </c>
    </row>
    <row r="35" spans="1:4" ht="21" customHeight="1" x14ac:dyDescent="0.3">
      <c r="A35" s="3" t="s">
        <v>12</v>
      </c>
      <c r="B35" s="4" t="s">
        <v>44</v>
      </c>
      <c r="C35" s="15">
        <v>6.3559312500000003</v>
      </c>
      <c r="D35" s="15">
        <f t="shared" si="3"/>
        <v>7.9449140625000005</v>
      </c>
    </row>
    <row r="36" spans="1:4" ht="21" customHeight="1" x14ac:dyDescent="0.3">
      <c r="A36" s="3" t="s">
        <v>16</v>
      </c>
      <c r="B36" s="4" t="s">
        <v>45</v>
      </c>
      <c r="C36" s="15">
        <v>6.9152532000000004</v>
      </c>
      <c r="D36" s="15">
        <f t="shared" si="3"/>
        <v>8.644066500000001</v>
      </c>
    </row>
    <row r="37" spans="1:4" ht="21" customHeight="1" x14ac:dyDescent="0.3">
      <c r="A37" s="3" t="s">
        <v>39</v>
      </c>
      <c r="B37" s="4" t="s">
        <v>46</v>
      </c>
      <c r="C37" s="15">
        <v>10.677964500000002</v>
      </c>
      <c r="D37" s="15">
        <f t="shared" si="3"/>
        <v>13.347455625000002</v>
      </c>
    </row>
    <row r="38" spans="1:4" ht="21" customHeight="1" x14ac:dyDescent="0.3">
      <c r="A38" s="3" t="s">
        <v>8</v>
      </c>
      <c r="B38" s="4" t="s">
        <v>47</v>
      </c>
      <c r="C38" s="15">
        <v>10.169490000000001</v>
      </c>
      <c r="D38" s="15">
        <f t="shared" si="3"/>
        <v>12.711862500000002</v>
      </c>
    </row>
    <row r="39" spans="1:4" ht="21" customHeight="1" x14ac:dyDescent="0.3">
      <c r="A39" s="29" t="s">
        <v>42</v>
      </c>
      <c r="B39" s="30" t="s">
        <v>48</v>
      </c>
      <c r="C39" s="31">
        <v>5.9</v>
      </c>
      <c r="D39" s="31">
        <f t="shared" si="3"/>
        <v>7.375</v>
      </c>
    </row>
    <row r="40" spans="1:4" ht="21" customHeight="1" x14ac:dyDescent="0.25">
      <c r="A40" s="1"/>
      <c r="B40" s="2"/>
      <c r="C40" s="2"/>
      <c r="D40" s="9"/>
    </row>
    <row r="41" spans="1:4" ht="22.5" customHeight="1" x14ac:dyDescent="0.35">
      <c r="A41" s="26" t="s">
        <v>6</v>
      </c>
      <c r="B41" s="27"/>
      <c r="C41" s="27"/>
      <c r="D41" s="27"/>
    </row>
    <row r="42" spans="1:4" ht="21" customHeight="1" x14ac:dyDescent="0.3">
      <c r="A42" s="5" t="s">
        <v>23</v>
      </c>
      <c r="B42" s="5" t="s">
        <v>24</v>
      </c>
      <c r="C42" s="5" t="s">
        <v>40</v>
      </c>
      <c r="D42" s="7" t="s">
        <v>49</v>
      </c>
    </row>
    <row r="43" spans="1:4" ht="21.75" customHeight="1" x14ac:dyDescent="0.3">
      <c r="A43" s="3">
        <v>87</v>
      </c>
      <c r="B43" s="4" t="s">
        <v>41</v>
      </c>
      <c r="C43" s="15">
        <v>2.0338980000000002</v>
      </c>
      <c r="D43" s="15">
        <f t="shared" ref="D43:D46" si="4">C43*1.25</f>
        <v>2.5423725000000004</v>
      </c>
    </row>
    <row r="44" spans="1:4" ht="21.75" customHeight="1" x14ac:dyDescent="0.3">
      <c r="A44" s="3" t="s">
        <v>7</v>
      </c>
      <c r="B44" s="4" t="s">
        <v>38</v>
      </c>
      <c r="C44" s="15">
        <v>2.0338980000000002</v>
      </c>
      <c r="D44" s="15">
        <f t="shared" si="4"/>
        <v>2.5423725000000004</v>
      </c>
    </row>
    <row r="45" spans="1:4" ht="21.75" customHeight="1" x14ac:dyDescent="0.3">
      <c r="A45" s="3">
        <v>88</v>
      </c>
      <c r="B45" s="4" t="s">
        <v>19</v>
      </c>
      <c r="C45" s="15">
        <v>2.0338980000000002</v>
      </c>
      <c r="D45" s="15">
        <f t="shared" si="4"/>
        <v>2.5423725000000004</v>
      </c>
    </row>
    <row r="46" spans="1:4" ht="21.75" customHeight="1" x14ac:dyDescent="0.3">
      <c r="A46" s="19" t="s">
        <v>18</v>
      </c>
      <c r="B46" s="20" t="s">
        <v>20</v>
      </c>
      <c r="C46" s="16">
        <v>2.9</v>
      </c>
      <c r="D46" s="16">
        <f t="shared" si="4"/>
        <v>3.625</v>
      </c>
    </row>
    <row r="47" spans="1:4" ht="21.75" customHeight="1" x14ac:dyDescent="0.3">
      <c r="A47" s="21" t="s">
        <v>57</v>
      </c>
      <c r="B47" s="22" t="s">
        <v>58</v>
      </c>
      <c r="C47" s="23">
        <v>3.39</v>
      </c>
      <c r="D47" s="23">
        <f t="shared" ref="D47" si="5">C47*1.25</f>
        <v>4.2374999999999998</v>
      </c>
    </row>
    <row r="48" spans="1:4" ht="21.75" customHeight="1" x14ac:dyDescent="0.3">
      <c r="A48" s="11"/>
      <c r="B48" s="12"/>
      <c r="C48" s="12"/>
      <c r="D48" s="13"/>
    </row>
    <row r="49" spans="1:4" ht="21" customHeight="1" x14ac:dyDescent="0.3">
      <c r="A49" s="6" t="s">
        <v>25</v>
      </c>
    </row>
    <row r="50" spans="1:4" s="17" customFormat="1" ht="15.75" x14ac:dyDescent="0.25">
      <c r="A50" s="25" t="s">
        <v>50</v>
      </c>
      <c r="B50" s="25"/>
      <c r="C50" s="25"/>
      <c r="D50" s="18"/>
    </row>
    <row r="51" spans="1:4" s="17" customFormat="1" ht="15.75" x14ac:dyDescent="0.25">
      <c r="A51" s="24" t="s">
        <v>51</v>
      </c>
      <c r="B51" s="24"/>
      <c r="C51" s="24"/>
      <c r="D51" s="18"/>
    </row>
  </sheetData>
  <sheetProtection algorithmName="SHA-512" hashValue="crm2ZDaq8VdmtuK5P9+XozhRp9M7kB+WR08N2lAyyRbOAamJqHFFpkH3JnkjLRVQCYSN+ouoCJ+fMWjfnRyjEQ==" saltValue="GzDg/dWdtl8jmpyWn0Um3A==" spinCount="100000" sheet="1" objects="1" scenarios="1" selectLockedCells="1" selectUnlockedCells="1"/>
  <mergeCells count="7">
    <mergeCell ref="A6:D6"/>
    <mergeCell ref="A4:D4"/>
    <mergeCell ref="A51:C51"/>
    <mergeCell ref="A50:C50"/>
    <mergeCell ref="A41:D41"/>
    <mergeCell ref="A32:D32"/>
    <mergeCell ref="A16:D16"/>
  </mergeCells>
  <phoneticPr fontId="11" type="noConversion"/>
  <printOptions horizontalCentered="1"/>
  <pageMargins left="0" right="0" top="0.39370078740157483" bottom="0.39370078740157483" header="0" footer="0"/>
  <pageSetup paperSize="9" scale="72" orientation="portrait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mke</dc:creator>
  <cp:lastModifiedBy>ERSİN BURHAN GÜLAÇAR</cp:lastModifiedBy>
  <cp:lastPrinted>2025-09-25T13:41:27Z</cp:lastPrinted>
  <dcterms:created xsi:type="dcterms:W3CDTF">2012-10-13T09:30:25Z</dcterms:created>
  <dcterms:modified xsi:type="dcterms:W3CDTF">2025-09-25T13:41:40Z</dcterms:modified>
</cp:coreProperties>
</file>